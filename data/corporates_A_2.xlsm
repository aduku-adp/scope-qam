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00000000-0000-0000-0000-000000000000}"/>
  <workbookPr codeName="ThisWorkbook"/>
  <mc:AlternateContent xmlns:mc="http://schemas.openxmlformats.org/markup-compatibility/2006">
    <mc:Choice Requires="x15">
      <x15ac:absPath xmlns:x15ac="http://schemas.microsoft.com/office/spreadsheetml/2010/11/ac" url="/Users/rewelle/aduku/repos/scope-qam/data/"/>
    </mc:Choice>
  </mc:AlternateContent>
  <xr:revisionPtr revIDLastSave="0" documentId="13_ncr:1_{6DC2E57F-3453-FC4D-818F-66E635DACFC9}" xr6:coauthVersionLast="47" xr6:coauthVersionMax="47" xr10:uidLastSave="{00000000-0000-0000-0000-000000000000}"/>
  <bookViews>
    <workbookView xWindow="14620" yWindow="34580" windowWidth="30240" windowHeight="18900" activeTab="3" xr2:uid="{00000000-000D-0000-FFFF-FFFF00000000}"/>
  </bookViews>
  <sheets>
    <sheet name="BusinessRiskProfiles" sheetId="1" state="hidden" r:id="rId1"/>
    <sheet name="ListData" sheetId="2" state="hidden" r:id="rId2"/>
    <sheet name="Settings" sheetId="3" state="hidden" r:id="rId3"/>
    <sheet name="MASTER" sheetId="4" r:id="rId4"/>
  </sheets>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4" i="1" l="1"/>
  <c r="A177" i="1" s="1"/>
  <c r="A215" i="1" s="1"/>
  <c r="A253" i="1" s="1"/>
  <c r="A291" i="1" s="1"/>
  <c r="A133" i="1"/>
  <c r="A176" i="1" s="1"/>
  <c r="A214" i="1" s="1"/>
  <c r="A252" i="1" s="1"/>
  <c r="A290" i="1" s="1"/>
  <c r="A132" i="1"/>
  <c r="A175" i="1" s="1"/>
  <c r="A213" i="1" s="1"/>
  <c r="A251" i="1" s="1"/>
  <c r="A289" i="1" s="1"/>
  <c r="A131" i="1"/>
  <c r="A174" i="1" s="1"/>
  <c r="A212" i="1" s="1"/>
  <c r="A250" i="1" s="1"/>
  <c r="A288" i="1" s="1"/>
  <c r="A130" i="1"/>
  <c r="A173" i="1" s="1"/>
  <c r="A211" i="1" s="1"/>
  <c r="A249" i="1" s="1"/>
  <c r="A287" i="1" s="1"/>
  <c r="A129" i="1"/>
  <c r="A172" i="1" s="1"/>
  <c r="A210" i="1" s="1"/>
  <c r="A248" i="1" s="1"/>
  <c r="A286" i="1" s="1"/>
  <c r="A128" i="1"/>
  <c r="A171" i="1" s="1"/>
  <c r="A209" i="1" s="1"/>
  <c r="A247" i="1" s="1"/>
  <c r="A285" i="1" s="1"/>
  <c r="A127" i="1"/>
  <c r="A170" i="1" s="1"/>
  <c r="A208" i="1" s="1"/>
  <c r="A246" i="1" s="1"/>
  <c r="A284" i="1" s="1"/>
  <c r="A126" i="1"/>
  <c r="A169" i="1" s="1"/>
  <c r="A207" i="1" s="1"/>
  <c r="A245" i="1" s="1"/>
  <c r="A283" i="1" s="1"/>
  <c r="A125" i="1"/>
  <c r="A168" i="1" s="1"/>
  <c r="A206" i="1" s="1"/>
  <c r="A244" i="1" s="1"/>
  <c r="A282" i="1" s="1"/>
  <c r="A124" i="1"/>
  <c r="A167" i="1" s="1"/>
  <c r="A205" i="1" s="1"/>
  <c r="A243" i="1" s="1"/>
  <c r="A281" i="1" s="1"/>
  <c r="A123" i="1"/>
  <c r="A166" i="1" s="1"/>
  <c r="A204" i="1" s="1"/>
  <c r="A242" i="1" s="1"/>
  <c r="A280" i="1" s="1"/>
  <c r="A122" i="1"/>
  <c r="A165" i="1" s="1"/>
  <c r="A203" i="1" s="1"/>
  <c r="A241" i="1" s="1"/>
  <c r="A279" i="1" s="1"/>
  <c r="A121" i="1"/>
  <c r="A164" i="1" s="1"/>
  <c r="A202" i="1" s="1"/>
  <c r="A240" i="1" s="1"/>
  <c r="A278" i="1" s="1"/>
  <c r="A120" i="1"/>
  <c r="A163" i="1" s="1"/>
  <c r="A201" i="1" s="1"/>
  <c r="A239" i="1" s="1"/>
  <c r="A277" i="1" s="1"/>
  <c r="A119" i="1"/>
  <c r="A162" i="1" s="1"/>
  <c r="A200" i="1" s="1"/>
  <c r="A238" i="1" s="1"/>
  <c r="A276" i="1" s="1"/>
  <c r="A118" i="1"/>
  <c r="A161" i="1" s="1"/>
  <c r="A199" i="1" s="1"/>
  <c r="A237" i="1" s="1"/>
  <c r="A275" i="1" s="1"/>
  <c r="A117" i="1"/>
  <c r="A160" i="1" s="1"/>
  <c r="A198" i="1" s="1"/>
  <c r="A236" i="1" s="1"/>
  <c r="A274" i="1" s="1"/>
  <c r="A116" i="1"/>
  <c r="A159" i="1" s="1"/>
  <c r="A197" i="1" s="1"/>
  <c r="A235" i="1" s="1"/>
  <c r="A273" i="1" s="1"/>
  <c r="A115" i="1"/>
  <c r="A158" i="1" s="1"/>
  <c r="A196" i="1" s="1"/>
  <c r="A234" i="1" s="1"/>
  <c r="A272" i="1" s="1"/>
  <c r="A114" i="1"/>
  <c r="A157" i="1" s="1"/>
  <c r="A195" i="1" s="1"/>
  <c r="A233" i="1" s="1"/>
  <c r="A271" i="1" s="1"/>
  <c r="A113" i="1"/>
  <c r="A156" i="1" s="1"/>
  <c r="A194" i="1" s="1"/>
  <c r="A232" i="1" s="1"/>
  <c r="A270" i="1" s="1"/>
  <c r="A112" i="1"/>
  <c r="A155" i="1" s="1"/>
  <c r="A193" i="1" s="1"/>
  <c r="A231" i="1" s="1"/>
  <c r="A269" i="1" s="1"/>
  <c r="A111" i="1"/>
  <c r="A154" i="1" s="1"/>
  <c r="A192" i="1" s="1"/>
  <c r="A230" i="1" s="1"/>
  <c r="A268" i="1" s="1"/>
  <c r="A110" i="1"/>
  <c r="A153" i="1" s="1"/>
  <c r="A191" i="1" s="1"/>
  <c r="A229" i="1" s="1"/>
  <c r="A267" i="1" s="1"/>
  <c r="G109" i="1"/>
  <c r="A109" i="1"/>
  <c r="A152" i="1" s="1"/>
  <c r="A190" i="1" s="1"/>
  <c r="A228" i="1" s="1"/>
  <c r="A266" i="1" s="1"/>
  <c r="A108" i="1"/>
  <c r="A151" i="1" s="1"/>
  <c r="A189" i="1" s="1"/>
  <c r="A227" i="1" s="1"/>
  <c r="A265" i="1" s="1"/>
  <c r="A107" i="1"/>
  <c r="A150" i="1" s="1"/>
  <c r="A188" i="1" s="1"/>
  <c r="A226" i="1" s="1"/>
  <c r="A264" i="1" s="1"/>
  <c r="G106" i="1"/>
  <c r="A106" i="1"/>
  <c r="A149" i="1" s="1"/>
  <c r="A187" i="1" s="1"/>
  <c r="A225" i="1" s="1"/>
  <c r="A263" i="1" s="1"/>
  <c r="A105" i="1"/>
  <c r="A148" i="1" s="1"/>
  <c r="A186" i="1" s="1"/>
  <c r="A224" i="1" s="1"/>
  <c r="A262" i="1" s="1"/>
  <c r="A104" i="1"/>
  <c r="A147" i="1" s="1"/>
  <c r="A185" i="1" s="1"/>
  <c r="A223" i="1" s="1"/>
  <c r="A261" i="1" s="1"/>
  <c r="G103" i="1"/>
  <c r="A103" i="1"/>
  <c r="A146" i="1" s="1"/>
  <c r="A184" i="1" s="1"/>
  <c r="A222" i="1" s="1"/>
  <c r="A260" i="1" s="1"/>
  <c r="A102" i="1"/>
  <c r="A145" i="1" s="1"/>
  <c r="A183" i="1" s="1"/>
  <c r="A221" i="1" s="1"/>
  <c r="A259" i="1" s="1"/>
  <c r="A101" i="1"/>
  <c r="A144" i="1" s="1"/>
  <c r="A182" i="1" s="1"/>
  <c r="A220" i="1" s="1"/>
  <c r="A258" i="1" s="1"/>
  <c r="A100" i="1"/>
  <c r="A143" i="1" s="1"/>
  <c r="A181" i="1" s="1"/>
  <c r="A219" i="1" s="1"/>
  <c r="A257" i="1" s="1"/>
  <c r="K99" i="1"/>
  <c r="A90" i="1"/>
  <c r="A89" i="1"/>
  <c r="A88" i="1"/>
  <c r="G87" i="1"/>
  <c r="A87" i="1"/>
  <c r="A86" i="1"/>
  <c r="A85" i="1"/>
  <c r="A84" i="1"/>
  <c r="G83" i="1"/>
  <c r="A83" i="1"/>
  <c r="A82" i="1"/>
  <c r="A81" i="1"/>
  <c r="G80" i="1"/>
  <c r="A80" i="1"/>
  <c r="A79" i="1"/>
  <c r="A78" i="1"/>
  <c r="A77" i="1"/>
  <c r="G76" i="1"/>
  <c r="A76" i="1"/>
  <c r="A75" i="1"/>
  <c r="A74" i="1"/>
  <c r="A73" i="1"/>
  <c r="G72" i="1"/>
  <c r="A72" i="1"/>
  <c r="A71" i="1"/>
  <c r="A70" i="1"/>
  <c r="G69" i="1"/>
  <c r="A69" i="1"/>
  <c r="A68" i="1"/>
  <c r="A67" i="1"/>
  <c r="A66" i="1"/>
  <c r="G65" i="1"/>
  <c r="F65" i="1"/>
  <c r="A65" i="1"/>
  <c r="A64" i="1"/>
  <c r="A63" i="1"/>
  <c r="A62" i="1"/>
  <c r="G61" i="1"/>
  <c r="F61" i="1"/>
  <c r="A61" i="1"/>
  <c r="A60" i="1"/>
  <c r="A59" i="1"/>
  <c r="G58" i="1"/>
  <c r="A58" i="1"/>
  <c r="F57" i="1"/>
  <c r="A57" i="1"/>
  <c r="A56" i="1"/>
  <c r="G46" i="1"/>
  <c r="A46" i="1"/>
  <c r="F45" i="1"/>
  <c r="A45" i="1"/>
  <c r="A44" i="1"/>
  <c r="A43" i="1"/>
  <c r="G42" i="1"/>
  <c r="F42" i="1"/>
  <c r="A42" i="1"/>
  <c r="A41" i="1"/>
  <c r="A40" i="1"/>
  <c r="A39" i="1"/>
  <c r="G38" i="1"/>
  <c r="F38" i="1"/>
  <c r="E38" i="1"/>
  <c r="A38" i="1"/>
  <c r="A37" i="1"/>
  <c r="A36" i="1"/>
  <c r="G35" i="1"/>
  <c r="A35" i="1"/>
  <c r="F34" i="1"/>
  <c r="E34" i="1"/>
  <c r="A34" i="1"/>
  <c r="A33" i="1"/>
  <c r="A32" i="1"/>
  <c r="G31" i="1"/>
  <c r="F31" i="1"/>
  <c r="A31" i="1"/>
  <c r="E30" i="1"/>
  <c r="A30" i="1"/>
  <c r="A29" i="1"/>
  <c r="A28" i="1"/>
  <c r="G27" i="1"/>
  <c r="F27" i="1"/>
  <c r="A27" i="1"/>
  <c r="A26" i="1"/>
  <c r="A25" i="1"/>
  <c r="G24" i="1"/>
  <c r="A24" i="1"/>
  <c r="F23" i="1"/>
  <c r="E23" i="1"/>
  <c r="A23" i="1"/>
  <c r="A22" i="1"/>
  <c r="A21" i="1"/>
  <c r="G20" i="1"/>
  <c r="F20" i="1"/>
  <c r="A20" i="1"/>
  <c r="E19" i="1"/>
  <c r="A19" i="1"/>
  <c r="A18" i="1"/>
  <c r="A17" i="1"/>
  <c r="G16" i="1"/>
  <c r="F16" i="1"/>
  <c r="E16" i="1"/>
  <c r="A16" i="1"/>
  <c r="A15" i="1"/>
  <c r="A14" i="1"/>
  <c r="G13" i="1"/>
  <c r="A13" i="1"/>
  <c r="F12" i="1"/>
  <c r="E12" i="1"/>
  <c r="A12" i="1"/>
  <c r="J5" i="1"/>
  <c r="J6" i="1" s="1"/>
  <c r="J7" i="1" s="1"/>
  <c r="J8" i="1" s="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J4" i="1"/>
  <c r="J3" i="1"/>
  <c r="G2" i="1" a="1"/>
  <c r="G2" i="1" s="1"/>
  <c r="G115" i="1" s="1"/>
  <c r="F2" i="1" a="1"/>
  <c r="F2" i="1" s="1"/>
  <c r="F106" i="1" s="1"/>
  <c r="E2" i="1" a="1"/>
  <c r="E2" i="1" s="1"/>
  <c r="E102" i="1" s="1"/>
  <c r="D2" i="1" a="1"/>
  <c r="D2" i="1"/>
  <c r="D108" i="1" s="1"/>
  <c r="C2" i="1" a="1"/>
  <c r="C2" i="1" s="1"/>
  <c r="B2" i="1" a="1"/>
  <c r="B2" i="1"/>
  <c r="C290" i="1" l="1"/>
  <c r="C279" i="1"/>
  <c r="C268" i="1"/>
  <c r="C257" i="1"/>
  <c r="C243" i="1"/>
  <c r="C232" i="1"/>
  <c r="C221" i="1"/>
  <c r="C215" i="1"/>
  <c r="C204" i="1"/>
  <c r="C193" i="1"/>
  <c r="C182" i="1"/>
  <c r="C176" i="1"/>
  <c r="C165" i="1"/>
  <c r="C282" i="1"/>
  <c r="C271" i="1"/>
  <c r="C260" i="1"/>
  <c r="C246" i="1"/>
  <c r="C235" i="1"/>
  <c r="C224" i="1"/>
  <c r="C208" i="1"/>
  <c r="C197" i="1"/>
  <c r="C186" i="1"/>
  <c r="C285" i="1"/>
  <c r="C274" i="1"/>
  <c r="C263" i="1"/>
  <c r="C249" i="1"/>
  <c r="C291" i="1"/>
  <c r="C280" i="1"/>
  <c r="C269" i="1"/>
  <c r="C258" i="1"/>
  <c r="C244" i="1"/>
  <c r="C233" i="1"/>
  <c r="C222" i="1"/>
  <c r="C209" i="1"/>
  <c r="C198" i="1"/>
  <c r="C187" i="1"/>
  <c r="C170" i="1"/>
  <c r="C289" i="1"/>
  <c r="C278" i="1"/>
  <c r="C267" i="1"/>
  <c r="C253" i="1"/>
  <c r="C242" i="1"/>
  <c r="C231" i="1"/>
  <c r="C220" i="1"/>
  <c r="C210" i="1"/>
  <c r="C199" i="1"/>
  <c r="C188" i="1"/>
  <c r="C171" i="1"/>
  <c r="C287" i="1"/>
  <c r="C284" i="1"/>
  <c r="C281" i="1"/>
  <c r="C252" i="1"/>
  <c r="C212" i="1"/>
  <c r="C184" i="1"/>
  <c r="C167" i="1"/>
  <c r="C160" i="1"/>
  <c r="C153" i="1"/>
  <c r="C142" i="1"/>
  <c r="C133" i="1"/>
  <c r="C275" i="1"/>
  <c r="C272" i="1"/>
  <c r="C239" i="1"/>
  <c r="C234" i="1"/>
  <c r="C214" i="1"/>
  <c r="C201" i="1"/>
  <c r="C180" i="1"/>
  <c r="C163" i="1"/>
  <c r="C157" i="1"/>
  <c r="C146" i="1"/>
  <c r="C126" i="1"/>
  <c r="C266" i="1"/>
  <c r="C229" i="1"/>
  <c r="C219" i="1"/>
  <c r="C203" i="1"/>
  <c r="C190" i="1"/>
  <c r="C150" i="1"/>
  <c r="C286" i="1"/>
  <c r="C283" i="1"/>
  <c r="C241" i="1"/>
  <c r="C236" i="1"/>
  <c r="C205" i="1"/>
  <c r="C192" i="1"/>
  <c r="C174" i="1"/>
  <c r="C154" i="1"/>
  <c r="C143" i="1"/>
  <c r="C134" i="1"/>
  <c r="C277" i="1"/>
  <c r="C226" i="1"/>
  <c r="C207" i="1"/>
  <c r="C194" i="1"/>
  <c r="C172" i="1"/>
  <c r="C161" i="1"/>
  <c r="C158" i="1"/>
  <c r="C147" i="1"/>
  <c r="C251" i="1"/>
  <c r="C248" i="1"/>
  <c r="C238" i="1"/>
  <c r="C196" i="1"/>
  <c r="C168" i="1"/>
  <c r="C151" i="1"/>
  <c r="C131" i="1"/>
  <c r="C120" i="1"/>
  <c r="C109" i="1"/>
  <c r="C288" i="1"/>
  <c r="C228" i="1"/>
  <c r="C223" i="1"/>
  <c r="C213" i="1"/>
  <c r="C211" i="1"/>
  <c r="C185" i="1"/>
  <c r="C183" i="1"/>
  <c r="C181" i="1"/>
  <c r="C166" i="1"/>
  <c r="C164" i="1"/>
  <c r="C155" i="1"/>
  <c r="C144" i="1"/>
  <c r="C124" i="1"/>
  <c r="C265" i="1"/>
  <c r="C262" i="1"/>
  <c r="C259" i="1"/>
  <c r="C245" i="1"/>
  <c r="C202" i="1"/>
  <c r="C200" i="1"/>
  <c r="C159" i="1"/>
  <c r="C148" i="1"/>
  <c r="C250" i="1"/>
  <c r="C240" i="1"/>
  <c r="C230" i="1"/>
  <c r="C225" i="1"/>
  <c r="C191" i="1"/>
  <c r="C189" i="1"/>
  <c r="C177" i="1"/>
  <c r="C175" i="1"/>
  <c r="C162" i="1"/>
  <c r="C152" i="1"/>
  <c r="C132" i="1"/>
  <c r="C276" i="1"/>
  <c r="C273" i="1"/>
  <c r="C270" i="1"/>
  <c r="C247" i="1"/>
  <c r="C206" i="1"/>
  <c r="C173" i="1"/>
  <c r="C156" i="1"/>
  <c r="C145" i="1"/>
  <c r="C264" i="1"/>
  <c r="C261" i="1"/>
  <c r="C237" i="1"/>
  <c r="C227" i="1"/>
  <c r="C195" i="1"/>
  <c r="C169" i="1"/>
  <c r="C149" i="1"/>
  <c r="C122" i="1"/>
  <c r="C90" i="1"/>
  <c r="C79" i="1"/>
  <c r="C68" i="1"/>
  <c r="C57" i="1"/>
  <c r="C45" i="1"/>
  <c r="C34" i="1"/>
  <c r="C23" i="1"/>
  <c r="C12" i="1"/>
  <c r="C128" i="1"/>
  <c r="C115" i="1"/>
  <c r="C112" i="1"/>
  <c r="C106" i="1"/>
  <c r="C83" i="1"/>
  <c r="C72" i="1"/>
  <c r="C61" i="1"/>
  <c r="C38" i="1"/>
  <c r="C27" i="1"/>
  <c r="C16" i="1"/>
  <c r="C118" i="1"/>
  <c r="C103" i="1"/>
  <c r="C87" i="1"/>
  <c r="C76" i="1"/>
  <c r="C65" i="1"/>
  <c r="C42" i="1"/>
  <c r="C31" i="1"/>
  <c r="C20" i="1"/>
  <c r="C35" i="1"/>
  <c r="C24" i="1"/>
  <c r="C13" i="1"/>
  <c r="C125" i="1"/>
  <c r="C80" i="1"/>
  <c r="C69" i="1"/>
  <c r="C58" i="1"/>
  <c r="C46" i="1"/>
  <c r="C123" i="1"/>
  <c r="C113" i="1"/>
  <c r="C100" i="1"/>
  <c r="C84" i="1"/>
  <c r="C73" i="1"/>
  <c r="C62" i="1"/>
  <c r="C39" i="1"/>
  <c r="C28" i="1"/>
  <c r="C17" i="1"/>
  <c r="C81" i="1"/>
  <c r="C36" i="1"/>
  <c r="C130" i="1"/>
  <c r="C127" i="1"/>
  <c r="C121" i="1"/>
  <c r="C116" i="1"/>
  <c r="C110" i="1"/>
  <c r="C107" i="1"/>
  <c r="C104" i="1"/>
  <c r="C88" i="1"/>
  <c r="C77" i="1"/>
  <c r="C66" i="1"/>
  <c r="C43" i="1"/>
  <c r="C32" i="1"/>
  <c r="C21" i="1"/>
  <c r="C70" i="1"/>
  <c r="C59" i="1"/>
  <c r="C25" i="1"/>
  <c r="C14" i="1"/>
  <c r="C119" i="1"/>
  <c r="C101" i="1"/>
  <c r="C85" i="1"/>
  <c r="C74" i="1"/>
  <c r="C63" i="1"/>
  <c r="C40" i="1"/>
  <c r="C29" i="1"/>
  <c r="C18" i="1"/>
  <c r="C75" i="1"/>
  <c r="C71" i="1"/>
  <c r="C67" i="1"/>
  <c r="C105" i="1"/>
  <c r="C86" i="1"/>
  <c r="C82" i="1"/>
  <c r="C78" i="1"/>
  <c r="C89" i="1"/>
  <c r="C108" i="1"/>
  <c r="C129" i="1"/>
  <c r="C111" i="1"/>
  <c r="C114" i="1"/>
  <c r="C30" i="1"/>
  <c r="C26" i="1"/>
  <c r="C19" i="1"/>
  <c r="C41" i="1"/>
  <c r="C37" i="1"/>
  <c r="C33" i="1"/>
  <c r="C22" i="1"/>
  <c r="C15" i="1"/>
  <c r="C102" i="1"/>
  <c r="C64" i="1"/>
  <c r="C60" i="1"/>
  <c r="C56" i="1"/>
  <c r="C44" i="1"/>
  <c r="C117" i="1"/>
  <c r="D122" i="1"/>
  <c r="F126" i="1"/>
  <c r="B287" i="1"/>
  <c r="B276" i="1"/>
  <c r="B265" i="1"/>
  <c r="B251" i="1"/>
  <c r="B240" i="1"/>
  <c r="B229" i="1"/>
  <c r="B211" i="1"/>
  <c r="B200" i="1"/>
  <c r="B189" i="1"/>
  <c r="B172" i="1"/>
  <c r="B161" i="1"/>
  <c r="B290" i="1"/>
  <c r="B279" i="1"/>
  <c r="B268" i="1"/>
  <c r="B257" i="1"/>
  <c r="B243" i="1"/>
  <c r="B232" i="1"/>
  <c r="B221" i="1"/>
  <c r="B215" i="1"/>
  <c r="B204" i="1"/>
  <c r="B193" i="1"/>
  <c r="B282" i="1"/>
  <c r="B271" i="1"/>
  <c r="B260" i="1"/>
  <c r="B288" i="1"/>
  <c r="B277" i="1"/>
  <c r="B266" i="1"/>
  <c r="B252" i="1"/>
  <c r="B241" i="1"/>
  <c r="B230" i="1"/>
  <c r="B219" i="1"/>
  <c r="B205" i="1"/>
  <c r="B194" i="1"/>
  <c r="B183" i="1"/>
  <c r="B177" i="1"/>
  <c r="B166" i="1"/>
  <c r="B291" i="1"/>
  <c r="B286" i="1"/>
  <c r="B275" i="1"/>
  <c r="B264" i="1"/>
  <c r="B250" i="1"/>
  <c r="B239" i="1"/>
  <c r="B228" i="1"/>
  <c r="B206" i="1"/>
  <c r="B195" i="1"/>
  <c r="B184" i="1"/>
  <c r="B167" i="1"/>
  <c r="B261" i="1"/>
  <c r="B258" i="1"/>
  <c r="B237" i="1"/>
  <c r="B227" i="1"/>
  <c r="B222" i="1"/>
  <c r="B210" i="1"/>
  <c r="B197" i="1"/>
  <c r="B169" i="1"/>
  <c r="B149" i="1"/>
  <c r="B129" i="1"/>
  <c r="B284" i="1"/>
  <c r="B281" i="1"/>
  <c r="B278" i="1"/>
  <c r="B249" i="1"/>
  <c r="B244" i="1"/>
  <c r="B212" i="1"/>
  <c r="B199" i="1"/>
  <c r="B186" i="1"/>
  <c r="B182" i="1"/>
  <c r="B165" i="1"/>
  <c r="B160" i="1"/>
  <c r="B153" i="1"/>
  <c r="B142" i="1"/>
  <c r="B133" i="1"/>
  <c r="B122" i="1"/>
  <c r="B272" i="1"/>
  <c r="B269" i="1"/>
  <c r="B234" i="1"/>
  <c r="B224" i="1"/>
  <c r="B214" i="1"/>
  <c r="B201" i="1"/>
  <c r="B188" i="1"/>
  <c r="B180" i="1"/>
  <c r="B163" i="1"/>
  <c r="B157" i="1"/>
  <c r="B146" i="1"/>
  <c r="B289" i="1"/>
  <c r="B263" i="1"/>
  <c r="B246" i="1"/>
  <c r="B203" i="1"/>
  <c r="B190" i="1"/>
  <c r="B176" i="1"/>
  <c r="B150" i="1"/>
  <c r="B130" i="1"/>
  <c r="B283" i="1"/>
  <c r="B280" i="1"/>
  <c r="B236" i="1"/>
  <c r="B231" i="1"/>
  <c r="B192" i="1"/>
  <c r="B174" i="1"/>
  <c r="B154" i="1"/>
  <c r="B143" i="1"/>
  <c r="B134" i="1"/>
  <c r="B274" i="1"/>
  <c r="B226" i="1"/>
  <c r="B209" i="1"/>
  <c r="B207" i="1"/>
  <c r="B170" i="1"/>
  <c r="B158" i="1"/>
  <c r="B147" i="1"/>
  <c r="B127" i="1"/>
  <c r="B116" i="1"/>
  <c r="B105" i="1"/>
  <c r="B248" i="1"/>
  <c r="B238" i="1"/>
  <c r="B233" i="1"/>
  <c r="B198" i="1"/>
  <c r="B196" i="1"/>
  <c r="B168" i="1"/>
  <c r="B151" i="1"/>
  <c r="B131" i="1"/>
  <c r="B120" i="1"/>
  <c r="B285" i="1"/>
  <c r="B223" i="1"/>
  <c r="B213" i="1"/>
  <c r="B187" i="1"/>
  <c r="B185" i="1"/>
  <c r="B181" i="1"/>
  <c r="B164" i="1"/>
  <c r="B155" i="1"/>
  <c r="B144" i="1"/>
  <c r="B262" i="1"/>
  <c r="B259" i="1"/>
  <c r="B253" i="1"/>
  <c r="B245" i="1"/>
  <c r="B235" i="1"/>
  <c r="B202" i="1"/>
  <c r="B159" i="1"/>
  <c r="B148" i="1"/>
  <c r="B128" i="1"/>
  <c r="B225" i="1"/>
  <c r="B220" i="1"/>
  <c r="B191" i="1"/>
  <c r="B175" i="1"/>
  <c r="B162" i="1"/>
  <c r="B152" i="1"/>
  <c r="B132" i="1"/>
  <c r="B273" i="1"/>
  <c r="B270" i="1"/>
  <c r="B267" i="1"/>
  <c r="B247" i="1"/>
  <c r="B242" i="1"/>
  <c r="B208" i="1"/>
  <c r="B173" i="1"/>
  <c r="B171" i="1"/>
  <c r="B156" i="1"/>
  <c r="B145" i="1"/>
  <c r="B102" i="1"/>
  <c r="B86" i="1"/>
  <c r="B75" i="1"/>
  <c r="B64" i="1"/>
  <c r="B41" i="1"/>
  <c r="B30" i="1"/>
  <c r="B19" i="1"/>
  <c r="B90" i="1"/>
  <c r="B79" i="1"/>
  <c r="B68" i="1"/>
  <c r="B57" i="1"/>
  <c r="B45" i="1"/>
  <c r="B34" i="1"/>
  <c r="B23" i="1"/>
  <c r="B12" i="1"/>
  <c r="B115" i="1"/>
  <c r="B112" i="1"/>
  <c r="B109" i="1"/>
  <c r="B106" i="1"/>
  <c r="B83" i="1"/>
  <c r="B72" i="1"/>
  <c r="B61" i="1"/>
  <c r="B38" i="1"/>
  <c r="B27" i="1"/>
  <c r="B16" i="1"/>
  <c r="B42" i="1"/>
  <c r="B31" i="1"/>
  <c r="B20" i="1"/>
  <c r="B118" i="1"/>
  <c r="B103" i="1"/>
  <c r="B87" i="1"/>
  <c r="B76" i="1"/>
  <c r="B65" i="1"/>
  <c r="B43" i="1"/>
  <c r="B125" i="1"/>
  <c r="B80" i="1"/>
  <c r="B69" i="1"/>
  <c r="B58" i="1"/>
  <c r="B46" i="1"/>
  <c r="B35" i="1"/>
  <c r="B24" i="1"/>
  <c r="B13" i="1"/>
  <c r="B77" i="1"/>
  <c r="B36" i="1"/>
  <c r="B123" i="1"/>
  <c r="B113" i="1"/>
  <c r="B100" i="1"/>
  <c r="B84" i="1"/>
  <c r="B73" i="1"/>
  <c r="B62" i="1"/>
  <c r="B39" i="1"/>
  <c r="B28" i="1"/>
  <c r="B17" i="1"/>
  <c r="B121" i="1"/>
  <c r="B110" i="1"/>
  <c r="B107" i="1"/>
  <c r="B104" i="1"/>
  <c r="B88" i="1"/>
  <c r="B66" i="1"/>
  <c r="B32" i="1"/>
  <c r="B21" i="1"/>
  <c r="B81" i="1"/>
  <c r="B70" i="1"/>
  <c r="B59" i="1"/>
  <c r="B14" i="1"/>
  <c r="B15" i="1"/>
  <c r="B18" i="1"/>
  <c r="B22" i="1"/>
  <c r="B29" i="1"/>
  <c r="B33" i="1"/>
  <c r="B37" i="1"/>
  <c r="D71" i="1"/>
  <c r="D75" i="1"/>
  <c r="D79" i="1"/>
  <c r="E86" i="1"/>
  <c r="E90" i="1"/>
  <c r="B26" i="1"/>
  <c r="D60" i="1"/>
  <c r="D64" i="1"/>
  <c r="D68" i="1"/>
  <c r="E75" i="1"/>
  <c r="E79" i="1"/>
  <c r="E83" i="1"/>
  <c r="F90" i="1"/>
  <c r="D102" i="1"/>
  <c r="E122" i="1"/>
  <c r="F288" i="1"/>
  <c r="F277" i="1"/>
  <c r="F266" i="1"/>
  <c r="F252" i="1"/>
  <c r="F241" i="1"/>
  <c r="F230" i="1"/>
  <c r="F219" i="1"/>
  <c r="F205" i="1"/>
  <c r="F194" i="1"/>
  <c r="F183" i="1"/>
  <c r="F177" i="1"/>
  <c r="F166" i="1"/>
  <c r="F291" i="1"/>
  <c r="F280" i="1"/>
  <c r="F269" i="1"/>
  <c r="F258" i="1"/>
  <c r="F244" i="1"/>
  <c r="F233" i="1"/>
  <c r="F222" i="1"/>
  <c r="F209" i="1"/>
  <c r="F198" i="1"/>
  <c r="F187" i="1"/>
  <c r="F283" i="1"/>
  <c r="F272" i="1"/>
  <c r="F261" i="1"/>
  <c r="F289" i="1"/>
  <c r="F278" i="1"/>
  <c r="F267" i="1"/>
  <c r="F253" i="1"/>
  <c r="F242" i="1"/>
  <c r="F231" i="1"/>
  <c r="F220" i="1"/>
  <c r="F210" i="1"/>
  <c r="F199" i="1"/>
  <c r="F188" i="1"/>
  <c r="F171" i="1"/>
  <c r="F287" i="1"/>
  <c r="F276" i="1"/>
  <c r="F265" i="1"/>
  <c r="F251" i="1"/>
  <c r="F240" i="1"/>
  <c r="F229" i="1"/>
  <c r="F211" i="1"/>
  <c r="F200" i="1"/>
  <c r="F189" i="1"/>
  <c r="F172" i="1"/>
  <c r="F290" i="1"/>
  <c r="F249" i="1"/>
  <c r="F224" i="1"/>
  <c r="F203" i="1"/>
  <c r="F201" i="1"/>
  <c r="F176" i="1"/>
  <c r="F154" i="1"/>
  <c r="F143" i="1"/>
  <c r="F134" i="1"/>
  <c r="F286" i="1"/>
  <c r="F246" i="1"/>
  <c r="F236" i="1"/>
  <c r="F192" i="1"/>
  <c r="F190" i="1"/>
  <c r="F174" i="1"/>
  <c r="F161" i="1"/>
  <c r="F158" i="1"/>
  <c r="F147" i="1"/>
  <c r="F127" i="1"/>
  <c r="F263" i="1"/>
  <c r="F260" i="1"/>
  <c r="F257" i="1"/>
  <c r="F226" i="1"/>
  <c r="F221" i="1"/>
  <c r="F207" i="1"/>
  <c r="F170" i="1"/>
  <c r="F151" i="1"/>
  <c r="F131" i="1"/>
  <c r="F248" i="1"/>
  <c r="F243" i="1"/>
  <c r="F196" i="1"/>
  <c r="F168" i="1"/>
  <c r="F155" i="1"/>
  <c r="F144" i="1"/>
  <c r="F274" i="1"/>
  <c r="F271" i="1"/>
  <c r="F268" i="1"/>
  <c r="F238" i="1"/>
  <c r="F228" i="1"/>
  <c r="F223" i="1"/>
  <c r="F213" i="1"/>
  <c r="F185" i="1"/>
  <c r="F181" i="1"/>
  <c r="F164" i="1"/>
  <c r="F159" i="1"/>
  <c r="F148" i="1"/>
  <c r="F262" i="1"/>
  <c r="F259" i="1"/>
  <c r="F245" i="1"/>
  <c r="F215" i="1"/>
  <c r="F202" i="1"/>
  <c r="F152" i="1"/>
  <c r="F132" i="1"/>
  <c r="F121" i="1"/>
  <c r="F110" i="1"/>
  <c r="F285" i="1"/>
  <c r="F282" i="1"/>
  <c r="F279" i="1"/>
  <c r="F250" i="1"/>
  <c r="F235" i="1"/>
  <c r="F225" i="1"/>
  <c r="F204" i="1"/>
  <c r="F191" i="1"/>
  <c r="F175" i="1"/>
  <c r="F162" i="1"/>
  <c r="F156" i="1"/>
  <c r="F145" i="1"/>
  <c r="F125" i="1"/>
  <c r="F273" i="1"/>
  <c r="F270" i="1"/>
  <c r="F247" i="1"/>
  <c r="F206" i="1"/>
  <c r="F193" i="1"/>
  <c r="F173" i="1"/>
  <c r="F149" i="1"/>
  <c r="F264" i="1"/>
  <c r="F237" i="1"/>
  <c r="F232" i="1"/>
  <c r="F208" i="1"/>
  <c r="F195" i="1"/>
  <c r="F169" i="1"/>
  <c r="F160" i="1"/>
  <c r="F153" i="1"/>
  <c r="F142" i="1"/>
  <c r="F133" i="1"/>
  <c r="F284" i="1"/>
  <c r="F281" i="1"/>
  <c r="F227" i="1"/>
  <c r="F197" i="1"/>
  <c r="F184" i="1"/>
  <c r="F182" i="1"/>
  <c r="F167" i="1"/>
  <c r="F165" i="1"/>
  <c r="F157" i="1"/>
  <c r="F146" i="1"/>
  <c r="F275" i="1"/>
  <c r="F239" i="1"/>
  <c r="F234" i="1"/>
  <c r="F214" i="1"/>
  <c r="F212" i="1"/>
  <c r="F186" i="1"/>
  <c r="F180" i="1"/>
  <c r="F163" i="1"/>
  <c r="F150" i="1"/>
  <c r="F128" i="1"/>
  <c r="F80" i="1"/>
  <c r="F69" i="1"/>
  <c r="F58" i="1"/>
  <c r="F46" i="1"/>
  <c r="F35" i="1"/>
  <c r="F24" i="1"/>
  <c r="F13" i="1"/>
  <c r="F100" i="1"/>
  <c r="F84" i="1"/>
  <c r="F73" i="1"/>
  <c r="F62" i="1"/>
  <c r="F39" i="1"/>
  <c r="F28" i="1"/>
  <c r="F17" i="1"/>
  <c r="F123" i="1"/>
  <c r="F116" i="1"/>
  <c r="F113" i="1"/>
  <c r="F107" i="1"/>
  <c r="F104" i="1"/>
  <c r="F88" i="1"/>
  <c r="F77" i="1"/>
  <c r="F66" i="1"/>
  <c r="F43" i="1"/>
  <c r="F32" i="1"/>
  <c r="F21" i="1"/>
  <c r="F36" i="1"/>
  <c r="F25" i="1"/>
  <c r="F81" i="1"/>
  <c r="F70" i="1"/>
  <c r="F59" i="1"/>
  <c r="F14" i="1"/>
  <c r="F130" i="1"/>
  <c r="F119" i="1"/>
  <c r="F101" i="1"/>
  <c r="F85" i="1"/>
  <c r="F74" i="1"/>
  <c r="F63" i="1"/>
  <c r="F40" i="1"/>
  <c r="F29" i="1"/>
  <c r="F18" i="1"/>
  <c r="F71" i="1"/>
  <c r="F60" i="1"/>
  <c r="F26" i="1"/>
  <c r="F15" i="1"/>
  <c r="F114" i="1"/>
  <c r="F89" i="1"/>
  <c r="F78" i="1"/>
  <c r="F67" i="1"/>
  <c r="F56" i="1"/>
  <c r="F44" i="1"/>
  <c r="F33" i="1"/>
  <c r="F22" i="1"/>
  <c r="F111" i="1"/>
  <c r="F108" i="1"/>
  <c r="F105" i="1"/>
  <c r="F82" i="1"/>
  <c r="F37" i="1"/>
  <c r="F129" i="1"/>
  <c r="F124" i="1"/>
  <c r="F117" i="1"/>
  <c r="F102" i="1"/>
  <c r="F86" i="1"/>
  <c r="F75" i="1"/>
  <c r="F64" i="1"/>
  <c r="F41" i="1"/>
  <c r="F30" i="1"/>
  <c r="F19" i="1"/>
  <c r="D15" i="1"/>
  <c r="D37" i="1"/>
  <c r="D41" i="1"/>
  <c r="D45" i="1"/>
  <c r="D57" i="1"/>
  <c r="E64" i="1"/>
  <c r="E68" i="1"/>
  <c r="E72" i="1"/>
  <c r="F79" i="1"/>
  <c r="F83" i="1"/>
  <c r="F87" i="1"/>
  <c r="B114" i="1"/>
  <c r="F118" i="1"/>
  <c r="F122" i="1"/>
  <c r="E285" i="1"/>
  <c r="E274" i="1"/>
  <c r="E263" i="1"/>
  <c r="E249" i="1"/>
  <c r="E238" i="1"/>
  <c r="E227" i="1"/>
  <c r="E212" i="1"/>
  <c r="E201" i="1"/>
  <c r="E190" i="1"/>
  <c r="E173" i="1"/>
  <c r="E162" i="1"/>
  <c r="E288" i="1"/>
  <c r="E277" i="1"/>
  <c r="E266" i="1"/>
  <c r="E252" i="1"/>
  <c r="E241" i="1"/>
  <c r="E230" i="1"/>
  <c r="E219" i="1"/>
  <c r="E205" i="1"/>
  <c r="E194" i="1"/>
  <c r="E291" i="1"/>
  <c r="E280" i="1"/>
  <c r="E269" i="1"/>
  <c r="E258" i="1"/>
  <c r="E286" i="1"/>
  <c r="E275" i="1"/>
  <c r="E264" i="1"/>
  <c r="E250" i="1"/>
  <c r="E239" i="1"/>
  <c r="E228" i="1"/>
  <c r="E206" i="1"/>
  <c r="E195" i="1"/>
  <c r="E184" i="1"/>
  <c r="E167" i="1"/>
  <c r="E284" i="1"/>
  <c r="E273" i="1"/>
  <c r="E262" i="1"/>
  <c r="E248" i="1"/>
  <c r="E237" i="1"/>
  <c r="E226" i="1"/>
  <c r="E207" i="1"/>
  <c r="E196" i="1"/>
  <c r="E185" i="1"/>
  <c r="E168" i="1"/>
  <c r="E290" i="1"/>
  <c r="E272" i="1"/>
  <c r="E234" i="1"/>
  <c r="E229" i="1"/>
  <c r="E214" i="1"/>
  <c r="E188" i="1"/>
  <c r="E186" i="1"/>
  <c r="E180" i="1"/>
  <c r="E163" i="1"/>
  <c r="E150" i="1"/>
  <c r="E130" i="1"/>
  <c r="E289" i="1"/>
  <c r="E224" i="1"/>
  <c r="E203" i="1"/>
  <c r="E176" i="1"/>
  <c r="E154" i="1"/>
  <c r="E143" i="1"/>
  <c r="E134" i="1"/>
  <c r="E123" i="1"/>
  <c r="E283" i="1"/>
  <c r="E246" i="1"/>
  <c r="E236" i="1"/>
  <c r="E231" i="1"/>
  <c r="E192" i="1"/>
  <c r="E174" i="1"/>
  <c r="E172" i="1"/>
  <c r="E161" i="1"/>
  <c r="E158" i="1"/>
  <c r="E147" i="1"/>
  <c r="E260" i="1"/>
  <c r="E257" i="1"/>
  <c r="E251" i="1"/>
  <c r="E221" i="1"/>
  <c r="E209" i="1"/>
  <c r="E170" i="1"/>
  <c r="E151" i="1"/>
  <c r="E131" i="1"/>
  <c r="E243" i="1"/>
  <c r="E233" i="1"/>
  <c r="E211" i="1"/>
  <c r="E198" i="1"/>
  <c r="E183" i="1"/>
  <c r="E166" i="1"/>
  <c r="E155" i="1"/>
  <c r="E144" i="1"/>
  <c r="E271" i="1"/>
  <c r="E268" i="1"/>
  <c r="E265" i="1"/>
  <c r="E223" i="1"/>
  <c r="E213" i="1"/>
  <c r="E200" i="1"/>
  <c r="E187" i="1"/>
  <c r="E181" i="1"/>
  <c r="E164" i="1"/>
  <c r="E159" i="1"/>
  <c r="E148" i="1"/>
  <c r="E128" i="1"/>
  <c r="E117" i="1"/>
  <c r="E106" i="1"/>
  <c r="E259" i="1"/>
  <c r="E253" i="1"/>
  <c r="E245" i="1"/>
  <c r="E240" i="1"/>
  <c r="E215" i="1"/>
  <c r="E202" i="1"/>
  <c r="E189" i="1"/>
  <c r="E177" i="1"/>
  <c r="E152" i="1"/>
  <c r="E132" i="1"/>
  <c r="E121" i="1"/>
  <c r="E282" i="1"/>
  <c r="E279" i="1"/>
  <c r="E276" i="1"/>
  <c r="E235" i="1"/>
  <c r="E225" i="1"/>
  <c r="E220" i="1"/>
  <c r="E204" i="1"/>
  <c r="E191" i="1"/>
  <c r="E175" i="1"/>
  <c r="E156" i="1"/>
  <c r="E145" i="1"/>
  <c r="E270" i="1"/>
  <c r="E267" i="1"/>
  <c r="E247" i="1"/>
  <c r="E242" i="1"/>
  <c r="E193" i="1"/>
  <c r="E171" i="1"/>
  <c r="E149" i="1"/>
  <c r="E129" i="1"/>
  <c r="E287" i="1"/>
  <c r="E261" i="1"/>
  <c r="E232" i="1"/>
  <c r="E222" i="1"/>
  <c r="E210" i="1"/>
  <c r="E208" i="1"/>
  <c r="E169" i="1"/>
  <c r="E160" i="1"/>
  <c r="E153" i="1"/>
  <c r="E142" i="1"/>
  <c r="E133" i="1"/>
  <c r="E281" i="1"/>
  <c r="E278" i="1"/>
  <c r="E244" i="1"/>
  <c r="E199" i="1"/>
  <c r="E197" i="1"/>
  <c r="E182" i="1"/>
  <c r="E165" i="1"/>
  <c r="E157" i="1"/>
  <c r="E146" i="1"/>
  <c r="E118" i="1"/>
  <c r="E109" i="1"/>
  <c r="E103" i="1"/>
  <c r="E87" i="1"/>
  <c r="E76" i="1"/>
  <c r="E65" i="1"/>
  <c r="E42" i="1"/>
  <c r="E31" i="1"/>
  <c r="E20" i="1"/>
  <c r="E80" i="1"/>
  <c r="E69" i="1"/>
  <c r="E58" i="1"/>
  <c r="E46" i="1"/>
  <c r="E35" i="1"/>
  <c r="E24" i="1"/>
  <c r="E13" i="1"/>
  <c r="E125" i="1"/>
  <c r="E100" i="1"/>
  <c r="E84" i="1"/>
  <c r="E73" i="1"/>
  <c r="E62" i="1"/>
  <c r="E39" i="1"/>
  <c r="E28" i="1"/>
  <c r="E17" i="1"/>
  <c r="E43" i="1"/>
  <c r="E32" i="1"/>
  <c r="E21" i="1"/>
  <c r="E116" i="1"/>
  <c r="E113" i="1"/>
  <c r="E110" i="1"/>
  <c r="E107" i="1"/>
  <c r="E104" i="1"/>
  <c r="E88" i="1"/>
  <c r="E77" i="1"/>
  <c r="E66" i="1"/>
  <c r="E127" i="1"/>
  <c r="E81" i="1"/>
  <c r="E70" i="1"/>
  <c r="E59" i="1"/>
  <c r="E36" i="1"/>
  <c r="E25" i="1"/>
  <c r="E14" i="1"/>
  <c r="E78" i="1"/>
  <c r="E67" i="1"/>
  <c r="E44" i="1"/>
  <c r="E33" i="1"/>
  <c r="E119" i="1"/>
  <c r="E101" i="1"/>
  <c r="E85" i="1"/>
  <c r="E74" i="1"/>
  <c r="E63" i="1"/>
  <c r="E40" i="1"/>
  <c r="E29" i="1"/>
  <c r="E18" i="1"/>
  <c r="E114" i="1"/>
  <c r="E89" i="1"/>
  <c r="E56" i="1"/>
  <c r="E22" i="1"/>
  <c r="E111" i="1"/>
  <c r="E108" i="1"/>
  <c r="E105" i="1"/>
  <c r="E82" i="1"/>
  <c r="E71" i="1"/>
  <c r="E60" i="1"/>
  <c r="E37" i="1"/>
  <c r="E26" i="1"/>
  <c r="E15" i="1"/>
  <c r="D12" i="1"/>
  <c r="D19" i="1"/>
  <c r="D23" i="1"/>
  <c r="D26" i="1"/>
  <c r="D30" i="1"/>
  <c r="D34" i="1"/>
  <c r="E41" i="1"/>
  <c r="E45" i="1"/>
  <c r="E57" i="1"/>
  <c r="E61" i="1"/>
  <c r="F68" i="1"/>
  <c r="F72" i="1"/>
  <c r="F76" i="1"/>
  <c r="F103" i="1"/>
  <c r="B111" i="1"/>
  <c r="B119" i="1"/>
  <c r="E27" i="1"/>
  <c r="E115" i="1"/>
  <c r="B124" i="1"/>
  <c r="B108" i="1"/>
  <c r="D111" i="1"/>
  <c r="F115" i="1"/>
  <c r="E120" i="1"/>
  <c r="E124" i="1"/>
  <c r="B85" i="1"/>
  <c r="B89" i="1"/>
  <c r="F120" i="1"/>
  <c r="G291" i="1"/>
  <c r="G280" i="1"/>
  <c r="G269" i="1"/>
  <c r="G258" i="1"/>
  <c r="G244" i="1"/>
  <c r="G233" i="1"/>
  <c r="G222" i="1"/>
  <c r="G209" i="1"/>
  <c r="G198" i="1"/>
  <c r="G187" i="1"/>
  <c r="G170" i="1"/>
  <c r="G159" i="1"/>
  <c r="G283" i="1"/>
  <c r="G272" i="1"/>
  <c r="G261" i="1"/>
  <c r="G247" i="1"/>
  <c r="G236" i="1"/>
  <c r="G225" i="1"/>
  <c r="G213" i="1"/>
  <c r="G202" i="1"/>
  <c r="G191" i="1"/>
  <c r="G286" i="1"/>
  <c r="G275" i="1"/>
  <c r="G264" i="1"/>
  <c r="G250" i="1"/>
  <c r="G281" i="1"/>
  <c r="G270" i="1"/>
  <c r="G259" i="1"/>
  <c r="G245" i="1"/>
  <c r="G234" i="1"/>
  <c r="G223" i="1"/>
  <c r="G214" i="1"/>
  <c r="G203" i="1"/>
  <c r="G192" i="1"/>
  <c r="G181" i="1"/>
  <c r="G175" i="1"/>
  <c r="G164" i="1"/>
  <c r="G290" i="1"/>
  <c r="G279" i="1"/>
  <c r="G268" i="1"/>
  <c r="G257" i="1"/>
  <c r="G243" i="1"/>
  <c r="G232" i="1"/>
  <c r="G221" i="1"/>
  <c r="G215" i="1"/>
  <c r="G204" i="1"/>
  <c r="G193" i="1"/>
  <c r="G182" i="1"/>
  <c r="G176" i="1"/>
  <c r="G165" i="1"/>
  <c r="G289" i="1"/>
  <c r="G246" i="1"/>
  <c r="G219" i="1"/>
  <c r="G190" i="1"/>
  <c r="G174" i="1"/>
  <c r="G161" i="1"/>
  <c r="G158" i="1"/>
  <c r="G147" i="1"/>
  <c r="G127" i="1"/>
  <c r="G266" i="1"/>
  <c r="G263" i="1"/>
  <c r="G260" i="1"/>
  <c r="G241" i="1"/>
  <c r="G231" i="1"/>
  <c r="G226" i="1"/>
  <c r="G207" i="1"/>
  <c r="G205" i="1"/>
  <c r="G172" i="1"/>
  <c r="G151" i="1"/>
  <c r="G131" i="1"/>
  <c r="G120" i="1"/>
  <c r="G251" i="1"/>
  <c r="G248" i="1"/>
  <c r="G196" i="1"/>
  <c r="G194" i="1"/>
  <c r="G168" i="1"/>
  <c r="G155" i="1"/>
  <c r="G144" i="1"/>
  <c r="G277" i="1"/>
  <c r="G274" i="1"/>
  <c r="G271" i="1"/>
  <c r="G238" i="1"/>
  <c r="G228" i="1"/>
  <c r="G211" i="1"/>
  <c r="G185" i="1"/>
  <c r="G183" i="1"/>
  <c r="G166" i="1"/>
  <c r="G148" i="1"/>
  <c r="G128" i="1"/>
  <c r="G265" i="1"/>
  <c r="G262" i="1"/>
  <c r="G200" i="1"/>
  <c r="G152" i="1"/>
  <c r="G132" i="1"/>
  <c r="G288" i="1"/>
  <c r="G285" i="1"/>
  <c r="G282" i="1"/>
  <c r="G253" i="1"/>
  <c r="G240" i="1"/>
  <c r="G235" i="1"/>
  <c r="G189" i="1"/>
  <c r="G177" i="1"/>
  <c r="G162" i="1"/>
  <c r="G156" i="1"/>
  <c r="G145" i="1"/>
  <c r="G125" i="1"/>
  <c r="G114" i="1"/>
  <c r="G276" i="1"/>
  <c r="G273" i="1"/>
  <c r="G230" i="1"/>
  <c r="G220" i="1"/>
  <c r="G206" i="1"/>
  <c r="G173" i="1"/>
  <c r="G149" i="1"/>
  <c r="G129" i="1"/>
  <c r="G118" i="1"/>
  <c r="G267" i="1"/>
  <c r="G242" i="1"/>
  <c r="G237" i="1"/>
  <c r="G208" i="1"/>
  <c r="G195" i="1"/>
  <c r="G171" i="1"/>
  <c r="G169" i="1"/>
  <c r="G160" i="1"/>
  <c r="G153" i="1"/>
  <c r="G142" i="1"/>
  <c r="G133" i="1"/>
  <c r="G287" i="1"/>
  <c r="G284" i="1"/>
  <c r="G227" i="1"/>
  <c r="G210" i="1"/>
  <c r="G197" i="1"/>
  <c r="G184" i="1"/>
  <c r="G167" i="1"/>
  <c r="G157" i="1"/>
  <c r="G146" i="1"/>
  <c r="G126" i="1"/>
  <c r="G278" i="1"/>
  <c r="G239" i="1"/>
  <c r="G212" i="1"/>
  <c r="G199" i="1"/>
  <c r="G186" i="1"/>
  <c r="G180" i="1"/>
  <c r="G163" i="1"/>
  <c r="G150" i="1"/>
  <c r="G130" i="1"/>
  <c r="G252" i="1"/>
  <c r="G249" i="1"/>
  <c r="G229" i="1"/>
  <c r="G224" i="1"/>
  <c r="G201" i="1"/>
  <c r="G188" i="1"/>
  <c r="G154" i="1"/>
  <c r="G143" i="1"/>
  <c r="G134" i="1"/>
  <c r="G100" i="1"/>
  <c r="G84" i="1"/>
  <c r="G73" i="1"/>
  <c r="G62" i="1"/>
  <c r="G39" i="1"/>
  <c r="G28" i="1"/>
  <c r="G17" i="1"/>
  <c r="G123" i="1"/>
  <c r="G116" i="1"/>
  <c r="G113" i="1"/>
  <c r="G107" i="1"/>
  <c r="G104" i="1"/>
  <c r="G88" i="1"/>
  <c r="G77" i="1"/>
  <c r="G66" i="1"/>
  <c r="G43" i="1"/>
  <c r="G32" i="1"/>
  <c r="G21" i="1"/>
  <c r="G110" i="1"/>
  <c r="G81" i="1"/>
  <c r="G70" i="1"/>
  <c r="G59" i="1"/>
  <c r="G36" i="1"/>
  <c r="G25" i="1"/>
  <c r="G14" i="1"/>
  <c r="G40" i="1"/>
  <c r="G29" i="1"/>
  <c r="G18" i="1"/>
  <c r="G121" i="1"/>
  <c r="G119" i="1"/>
  <c r="G101" i="1"/>
  <c r="G85" i="1"/>
  <c r="G74" i="1"/>
  <c r="G63" i="1"/>
  <c r="G89" i="1"/>
  <c r="G78" i="1"/>
  <c r="G67" i="1"/>
  <c r="G56" i="1"/>
  <c r="G44" i="1"/>
  <c r="G33" i="1"/>
  <c r="G22" i="1"/>
  <c r="G117" i="1"/>
  <c r="G30" i="1"/>
  <c r="G19" i="1"/>
  <c r="G111" i="1"/>
  <c r="G108" i="1"/>
  <c r="G105" i="1"/>
  <c r="G82" i="1"/>
  <c r="G71" i="1"/>
  <c r="G60" i="1"/>
  <c r="G37" i="1"/>
  <c r="G26" i="1"/>
  <c r="G15" i="1"/>
  <c r="G124" i="1"/>
  <c r="G102" i="1"/>
  <c r="G86" i="1"/>
  <c r="G75" i="1"/>
  <c r="G64" i="1"/>
  <c r="G41" i="1"/>
  <c r="G122" i="1"/>
  <c r="G90" i="1"/>
  <c r="G79" i="1"/>
  <c r="G68" i="1"/>
  <c r="G57" i="1"/>
  <c r="G45" i="1"/>
  <c r="G34" i="1"/>
  <c r="G23" i="1"/>
  <c r="G12" i="1"/>
  <c r="B74" i="1"/>
  <c r="B78" i="1"/>
  <c r="B82" i="1"/>
  <c r="E112" i="1"/>
  <c r="B63" i="1"/>
  <c r="B67" i="1"/>
  <c r="B71" i="1"/>
  <c r="B101" i="1"/>
  <c r="F112" i="1"/>
  <c r="B126" i="1"/>
  <c r="D282" i="1"/>
  <c r="D271" i="1"/>
  <c r="D260" i="1"/>
  <c r="D246" i="1"/>
  <c r="D235" i="1"/>
  <c r="D224" i="1"/>
  <c r="D208" i="1"/>
  <c r="D197" i="1"/>
  <c r="D186" i="1"/>
  <c r="D169" i="1"/>
  <c r="D285" i="1"/>
  <c r="D274" i="1"/>
  <c r="D263" i="1"/>
  <c r="D249" i="1"/>
  <c r="D238" i="1"/>
  <c r="D227" i="1"/>
  <c r="D212" i="1"/>
  <c r="D201" i="1"/>
  <c r="D190" i="1"/>
  <c r="D288" i="1"/>
  <c r="D277" i="1"/>
  <c r="D266" i="1"/>
  <c r="D252" i="1"/>
  <c r="D291" i="1"/>
  <c r="D283" i="1"/>
  <c r="D272" i="1"/>
  <c r="D261" i="1"/>
  <c r="D247" i="1"/>
  <c r="D236" i="1"/>
  <c r="D225" i="1"/>
  <c r="D213" i="1"/>
  <c r="D202" i="1"/>
  <c r="D191" i="1"/>
  <c r="D180" i="1"/>
  <c r="D174" i="1"/>
  <c r="D163" i="1"/>
  <c r="D281" i="1"/>
  <c r="D270" i="1"/>
  <c r="D259" i="1"/>
  <c r="D245" i="1"/>
  <c r="D234" i="1"/>
  <c r="D223" i="1"/>
  <c r="D214" i="1"/>
  <c r="D203" i="1"/>
  <c r="D192" i="1"/>
  <c r="D181" i="1"/>
  <c r="D175" i="1"/>
  <c r="D164" i="1"/>
  <c r="D290" i="1"/>
  <c r="D278" i="1"/>
  <c r="D275" i="1"/>
  <c r="D244" i="1"/>
  <c r="D239" i="1"/>
  <c r="D199" i="1"/>
  <c r="D182" i="1"/>
  <c r="D165" i="1"/>
  <c r="D157" i="1"/>
  <c r="D146" i="1"/>
  <c r="D126" i="1"/>
  <c r="D269" i="1"/>
  <c r="D229" i="1"/>
  <c r="D219" i="1"/>
  <c r="D188" i="1"/>
  <c r="D150" i="1"/>
  <c r="D130" i="1"/>
  <c r="D289" i="1"/>
  <c r="D286" i="1"/>
  <c r="D241" i="1"/>
  <c r="D205" i="1"/>
  <c r="D176" i="1"/>
  <c r="D154" i="1"/>
  <c r="D143" i="1"/>
  <c r="D134" i="1"/>
  <c r="D280" i="1"/>
  <c r="D231" i="1"/>
  <c r="D226" i="1"/>
  <c r="D207" i="1"/>
  <c r="D194" i="1"/>
  <c r="D172" i="1"/>
  <c r="D161" i="1"/>
  <c r="D158" i="1"/>
  <c r="D147" i="1"/>
  <c r="D127" i="1"/>
  <c r="D257" i="1"/>
  <c r="D251" i="1"/>
  <c r="D248" i="1"/>
  <c r="D221" i="1"/>
  <c r="D209" i="1"/>
  <c r="D196" i="1"/>
  <c r="D170" i="1"/>
  <c r="D168" i="1"/>
  <c r="D151" i="1"/>
  <c r="D131" i="1"/>
  <c r="D243" i="1"/>
  <c r="D233" i="1"/>
  <c r="D228" i="1"/>
  <c r="D211" i="1"/>
  <c r="D198" i="1"/>
  <c r="D185" i="1"/>
  <c r="D183" i="1"/>
  <c r="D166" i="1"/>
  <c r="D155" i="1"/>
  <c r="D144" i="1"/>
  <c r="D124" i="1"/>
  <c r="D113" i="1"/>
  <c r="D268" i="1"/>
  <c r="D265" i="1"/>
  <c r="D262" i="1"/>
  <c r="D200" i="1"/>
  <c r="D187" i="1"/>
  <c r="D159" i="1"/>
  <c r="D148" i="1"/>
  <c r="D128" i="1"/>
  <c r="D117" i="1"/>
  <c r="D253" i="1"/>
  <c r="D250" i="1"/>
  <c r="D240" i="1"/>
  <c r="D230" i="1"/>
  <c r="D215" i="1"/>
  <c r="D189" i="1"/>
  <c r="D177" i="1"/>
  <c r="D162" i="1"/>
  <c r="D152" i="1"/>
  <c r="D132" i="1"/>
  <c r="D279" i="1"/>
  <c r="D276" i="1"/>
  <c r="D273" i="1"/>
  <c r="D220" i="1"/>
  <c r="D206" i="1"/>
  <c r="D204" i="1"/>
  <c r="D173" i="1"/>
  <c r="D156" i="1"/>
  <c r="D145" i="1"/>
  <c r="D125" i="1"/>
  <c r="D267" i="1"/>
  <c r="D264" i="1"/>
  <c r="D242" i="1"/>
  <c r="D237" i="1"/>
  <c r="D195" i="1"/>
  <c r="D193" i="1"/>
  <c r="D171" i="1"/>
  <c r="D149" i="1"/>
  <c r="D129" i="1"/>
  <c r="D287" i="1"/>
  <c r="D284" i="1"/>
  <c r="D258" i="1"/>
  <c r="D232" i="1"/>
  <c r="D222" i="1"/>
  <c r="D210" i="1"/>
  <c r="D184" i="1"/>
  <c r="D167" i="1"/>
  <c r="D160" i="1"/>
  <c r="D153" i="1"/>
  <c r="D142" i="1"/>
  <c r="D133" i="1"/>
  <c r="D120" i="1"/>
  <c r="D115" i="1"/>
  <c r="D112" i="1"/>
  <c r="D106" i="1"/>
  <c r="D83" i="1"/>
  <c r="D72" i="1"/>
  <c r="D61" i="1"/>
  <c r="D38" i="1"/>
  <c r="D27" i="1"/>
  <c r="D16" i="1"/>
  <c r="D118" i="1"/>
  <c r="D109" i="1"/>
  <c r="D103" i="1"/>
  <c r="D87" i="1"/>
  <c r="D76" i="1"/>
  <c r="D65" i="1"/>
  <c r="D42" i="1"/>
  <c r="D31" i="1"/>
  <c r="D20" i="1"/>
  <c r="D80" i="1"/>
  <c r="D69" i="1"/>
  <c r="D58" i="1"/>
  <c r="D46" i="1"/>
  <c r="D35" i="1"/>
  <c r="D24" i="1"/>
  <c r="D13" i="1"/>
  <c r="D39" i="1"/>
  <c r="D28" i="1"/>
  <c r="D17" i="1"/>
  <c r="D123" i="1"/>
  <c r="D100" i="1"/>
  <c r="D84" i="1"/>
  <c r="D73" i="1"/>
  <c r="D62" i="1"/>
  <c r="D121" i="1"/>
  <c r="D116" i="1"/>
  <c r="D110" i="1"/>
  <c r="D107" i="1"/>
  <c r="D104" i="1"/>
  <c r="D88" i="1"/>
  <c r="D77" i="1"/>
  <c r="D66" i="1"/>
  <c r="D43" i="1"/>
  <c r="D32" i="1"/>
  <c r="D21" i="1"/>
  <c r="D74" i="1"/>
  <c r="D63" i="1"/>
  <c r="D81" i="1"/>
  <c r="D70" i="1"/>
  <c r="D59" i="1"/>
  <c r="D36" i="1"/>
  <c r="D25" i="1"/>
  <c r="D14" i="1"/>
  <c r="D119" i="1"/>
  <c r="D101" i="1"/>
  <c r="D85" i="1"/>
  <c r="D40" i="1"/>
  <c r="D29" i="1"/>
  <c r="D18" i="1"/>
  <c r="D114" i="1"/>
  <c r="D89" i="1"/>
  <c r="D78" i="1"/>
  <c r="D67" i="1"/>
  <c r="D56" i="1"/>
  <c r="D44" i="1"/>
  <c r="D33" i="1"/>
  <c r="D22" i="1"/>
  <c r="B25" i="1"/>
  <c r="B40" i="1"/>
  <c r="B44" i="1"/>
  <c r="B56" i="1"/>
  <c r="B60" i="1"/>
  <c r="D82" i="1"/>
  <c r="D86" i="1"/>
  <c r="D90" i="1"/>
  <c r="D105" i="1"/>
  <c r="F109" i="1"/>
  <c r="G112" i="1"/>
  <c r="B117" i="1"/>
  <c r="E1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00000000-0006-0000-0000-000001000000}">
      <text>
        <r>
          <rPr>
            <sz val="11"/>
            <color theme="1"/>
            <rFont val="Inter"/>
            <family val="2"/>
            <scheme val="minor"/>
          </rPr>
          <t>Eugenio Piliego:
The two subsectors have different factors for market share and diversification</t>
        </r>
      </text>
    </comment>
    <comment ref="R2" authorId="1" shapeId="0" xr:uid="{00000000-0006-0000-0000-000002000000}">
      <text>
        <r>
          <rPr>
            <sz val="11"/>
            <color theme="1"/>
            <rFont val="Inter"/>
            <family val="2"/>
            <scheme val="minor"/>
          </rPr>
          <t>Sebastian Zank:
new granularity after the finalisation of the meth</t>
        </r>
      </text>
    </comment>
    <comment ref="U2" authorId="0" shapeId="0" xr:uid="{00000000-0006-0000-0000-000003000000}">
      <text>
        <r>
          <rPr>
            <sz val="11"/>
            <color theme="1"/>
            <rFont val="Inter"/>
            <family val="2"/>
            <scheme val="minor"/>
          </rPr>
          <t>Eugenio Piliego:
only specific factors considered</t>
        </r>
      </text>
    </comment>
    <comment ref="Y2" authorId="0" shapeId="0" xr:uid="{00000000-0006-0000-0000-000004000000}">
      <text>
        <r>
          <rPr>
            <sz val="11"/>
            <color theme="1"/>
            <rFont val="Inter"/>
            <family val="2"/>
            <scheme val="minor"/>
          </rPr>
          <t>Eugenio Piliego:
had to separate innovative pharma from generic as they have completely different matrixes</t>
        </r>
      </text>
    </comment>
    <comment ref="Y3" authorId="0" shapeId="0" xr:uid="{00000000-0006-0000-0000-000005000000}">
      <text>
        <r>
          <rPr>
            <sz val="11"/>
            <color theme="1"/>
            <rFont val="Inter"/>
            <family val="2"/>
            <scheme val="minor"/>
          </rPr>
          <t>Eugenio Piliego:
need to separate</t>
        </r>
      </text>
    </comment>
    <comment ref="W4" authorId="1" shapeId="0" xr:uid="{00000000-0006-0000-0000-000006000000}">
      <text>
        <r>
          <rPr>
            <sz val="11"/>
            <color theme="1"/>
            <rFont val="Inter"/>
            <family val="2"/>
            <scheme val="minor"/>
          </rPr>
          <t>Sebastian Zank:
new name after the finalisation of the meth
(Oil&amp;Gas: E&amp;P)</t>
        </r>
      </text>
    </comment>
    <comment ref="P5" authorId="0" shapeId="0" xr:uid="{00000000-0006-0000-0000-000007000000}">
      <text>
        <r>
          <rPr>
            <sz val="11"/>
            <color theme="1"/>
            <rFont val="Inter"/>
            <family val="2"/>
            <scheme val="minor"/>
          </rPr>
          <t>Eugenio Piliego:
replaced by non-discretionary</t>
        </r>
      </text>
    </comment>
    <comment ref="Y12" authorId="0" shapeId="0" xr:uid="{00000000-0006-0000-0000-000008000000}">
      <text>
        <r>
          <rPr>
            <sz val="11"/>
            <color theme="1"/>
            <rFont val="Inter"/>
            <family val="2"/>
            <scheme val="minor"/>
          </rPr>
          <t>Eugenio Piliego:
to check with author</t>
        </r>
      </text>
    </comment>
    <comment ref="Y19" authorId="0" shapeId="0" xr:uid="{00000000-0006-0000-0000-000009000000}">
      <text>
        <r>
          <rPr>
            <sz val="11"/>
            <color theme="1"/>
            <rFont val="Inter"/>
            <family val="2"/>
            <scheme val="minor"/>
          </rPr>
          <t>Eugenio Piliego:
to check with author</t>
        </r>
      </text>
    </comment>
    <comment ref="A142" authorId="0" shapeId="0" xr:uid="{00000000-0006-0000-0000-00000A000000}">
      <text>
        <r>
          <rPr>
            <sz val="11"/>
            <color theme="1"/>
            <rFont val="Inter"/>
            <family val="2"/>
            <scheme val="minor"/>
          </rPr>
          <t xml:space="preserve">Eugenio Piliego:
I inserted - please check if compliant
</t>
        </r>
      </text>
    </comment>
    <comment ref="A180" authorId="0" shapeId="0" xr:uid="{00000000-0006-0000-0000-00000B000000}">
      <text>
        <r>
          <rPr>
            <sz val="11"/>
            <color theme="1"/>
            <rFont val="Inter"/>
            <family val="2"/>
            <scheme val="minor"/>
          </rPr>
          <t xml:space="preserve">Eugenio Piliego:
I inserted - please check if compliant
</t>
        </r>
      </text>
    </comment>
    <comment ref="A218" authorId="0" shapeId="0" xr:uid="{00000000-0006-0000-0000-00000C000000}">
      <text>
        <r>
          <rPr>
            <sz val="11"/>
            <color theme="1"/>
            <rFont val="Inter"/>
            <family val="2"/>
            <scheme val="minor"/>
          </rPr>
          <t xml:space="preserve">Eugenio Piliego:
I inserted - please check if compliant
</t>
        </r>
      </text>
    </comment>
    <comment ref="A256" authorId="0" shapeId="0" xr:uid="{00000000-0006-0000-0000-00000D000000}">
      <text>
        <r>
          <rPr>
            <sz val="11"/>
            <color theme="1"/>
            <rFont val="Inter"/>
            <family val="2"/>
            <scheme val="minor"/>
          </rPr>
          <t xml:space="preserve">Eugenio Piliego: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0000000-0006-0000-0300-000001000000}">
      <text>
        <r>
          <rPr>
            <sz val="11"/>
            <color theme="1"/>
            <rFont val="Inter"/>
            <family val="2"/>
            <scheme val="minor"/>
          </rPr>
          <t>Pls choose the core sector
Hints: 
Business Services run under Industrial Goods and Services
Investment Holdings run under Financial Services
Software and IT Services run under Technology</t>
        </r>
      </text>
    </comment>
    <comment ref="C13" authorId="0" shapeId="0" xr:uid="{00000000-0006-0000-0300-000002000000}">
      <text>
        <r>
          <rPr>
            <sz val="11"/>
            <color theme="1"/>
            <rFont val="Inter"/>
            <family val="2"/>
            <scheme val="minor"/>
          </rPr>
          <t>Country names are aligned to country names used by Scope's SPS team</t>
        </r>
      </text>
    </comment>
  </commentList>
</comments>
</file>

<file path=xl/sharedStrings.xml><?xml version="1.0" encoding="utf-8"?>
<sst xmlns="http://schemas.openxmlformats.org/spreadsheetml/2006/main" count="3387" uniqueCount="2365">
  <si>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</si>
  <si>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</si>
  <si>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</si>
  <si>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</si>
  <si>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</si>
  <si>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</si>
  <si>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</si>
  <si>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</si>
  <si>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</si>
  <si>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</si>
  <si>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</si>
  <si>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</si>
  <si>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</si>
  <si>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</si>
  <si>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</si>
  <si>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</si>
  <si>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</si>
  <si>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</si>
  <si>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</si>
  <si>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</si>
  <si>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</si>
  <si>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</si>
  <si>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</si>
  <si>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</si>
  <si>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</si>
  <si>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</si>
  <si>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</si>
  <si>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</si>
  <si>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</si>
  <si>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</si>
  <si>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</si>
  <si>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</si>
  <si>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</si>
  <si>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</si>
  <si>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</si>
  <si>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</si>
  <si>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</si>
  <si>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</si>
  <si>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</si>
  <si>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</si>
  <si>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</si>
  <si>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</si>
  <si>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</si>
  <si>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</si>
  <si>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</si>
  <si>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</si>
  <si>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</si>
  <si>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</si>
  <si>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</si>
  <si>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</si>
  <si>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</si>
  <si>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</si>
  <si>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</si>
  <si>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</si>
  <si>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</si>
  <si>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</si>
  <si>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</si>
  <si>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</si>
  <si>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</si>
  <si>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</si>
  <si>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</si>
  <si>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</si>
  <si>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</si>
  <si>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</si>
  <si>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</si>
  <si>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</si>
  <si>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</si>
  <si>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</si>
  <si>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</si>
  <si>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</si>
  <si>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</si>
  <si>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</si>
  <si>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</si>
  <si>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</si>
  <si>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</si>
  <si>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</si>
  <si>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</si>
  <si>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</si>
  <si>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</si>
  <si>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</si>
  <si>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</si>
  <si>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</si>
  <si>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</si>
  <si>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</si>
  <si>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</si>
  <si>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</si>
  <si>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</si>
  <si>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</si>
  <si>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</si>
  <si>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</si>
  <si>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</si>
  <si>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</si>
  <si>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</si>
  <si>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</si>
  <si>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</si>
  <si>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</si>
  <si>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</si>
  <si>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</si>
  <si>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</si>
  <si>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</si>
  <si>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</si>
  <si>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</si>
  <si>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</si>
  <si>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</si>
  <si>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</si>
  <si>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</si>
  <si>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</si>
  <si>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</si>
  <si>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</si>
  <si>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</si>
  <si>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</si>
  <si>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</si>
  <si>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</si>
  <si>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</si>
  <si>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</si>
  <si>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</si>
  <si>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</si>
  <si>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</si>
  <si>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</si>
  <si>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</si>
  <si>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</si>
  <si>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</si>
  <si>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</si>
  <si>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</si>
  <si>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</si>
  <si>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</si>
  <si>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</si>
  <si>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</si>
  <si>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</si>
  <si>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</si>
  <si>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</si>
  <si>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</si>
  <si>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</si>
  <si>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</si>
  <si>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</si>
  <si>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</si>
  <si>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</si>
  <si>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</si>
  <si>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</si>
  <si>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</si>
  <si>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</si>
  <si>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</si>
  <si>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</si>
  <si>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</si>
  <si>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</si>
  <si>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</si>
  <si>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</si>
  <si>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</si>
  <si>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</si>
  <si>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</si>
  <si>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</si>
  <si>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</si>
  <si>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</si>
  <si>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</si>
  <si>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</si>
  <si>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</si>
  <si>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</si>
  <si>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</si>
  <si>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</si>
  <si>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</si>
  <si>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</si>
  <si>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</si>
  <si>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</si>
  <si>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</si>
  <si>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</si>
  <si>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</si>
  <si>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</si>
  <si>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</si>
  <si>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</si>
  <si>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</si>
  <si>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</si>
  <si>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</si>
  <si>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</si>
  <si>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</si>
  <si>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</si>
  <si>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</si>
  <si>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</si>
  <si>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</si>
  <si>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</si>
  <si>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</si>
  <si>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</si>
  <si>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</si>
  <si>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</si>
  <si>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</si>
  <si>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</si>
  <si>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</si>
  <si>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</si>
  <si>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</si>
  <si>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</si>
  <si>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</si>
  <si>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</si>
  <si>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</si>
  <si>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</si>
  <si>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</si>
  <si>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</si>
  <si>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</si>
  <si>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</si>
  <si>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</si>
  <si>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</si>
  <si>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</si>
  <si>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</si>
  <si>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</si>
  <si>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</si>
  <si>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</si>
  <si>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</si>
  <si>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</si>
  <si>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</si>
  <si>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</si>
  <si>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</si>
  <si>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</si>
  <si>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</si>
  <si>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</si>
  <si>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</si>
  <si>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</si>
  <si>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</si>
  <si>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</si>
  <si>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</si>
  <si>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</si>
  <si>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</si>
  <si>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</si>
  <si>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</si>
  <si>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</si>
  <si>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</si>
  <si>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</si>
  <si>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</si>
  <si>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</si>
  <si>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</si>
  <si>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</si>
  <si>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</si>
  <si>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</si>
  <si>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</si>
  <si>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</si>
  <si>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</si>
  <si>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</si>
  <si>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</si>
  <si>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</si>
  <si>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</si>
  <si>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</si>
  <si>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</si>
  <si>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</si>
  <si>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</si>
  <si>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</si>
  <si>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</si>
  <si>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</si>
  <si>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</si>
  <si>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</si>
  <si>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</si>
  <si>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</si>
  <si>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</si>
  <si>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</si>
  <si>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</si>
  <si>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</si>
  <si>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</si>
  <si>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</si>
  <si>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</si>
  <si>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</si>
  <si>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</si>
  <si>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</si>
  <si>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</si>
  <si>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</si>
  <si>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</si>
  <si>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</si>
  <si>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</si>
  <si>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</si>
  <si>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</si>
  <si>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</si>
  <si>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</si>
  <si>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</si>
  <si>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</si>
  <si>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</si>
  <si>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</si>
  <si>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</si>
  <si>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</si>
  <si>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</si>
  <si>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</si>
  <si>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</si>
  <si>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</si>
  <si>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</si>
  <si>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</si>
  <si>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</si>
  <si>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</si>
  <si>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</si>
  <si>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</si>
  <si>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</si>
  <si>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</si>
  <si>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</si>
  <si>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</si>
  <si>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</si>
  <si>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</si>
  <si>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</si>
  <si>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</si>
  <si>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</si>
  <si>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</si>
  <si>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</si>
  <si>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</si>
  <si>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</si>
  <si>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</si>
  <si>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</si>
  <si>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</si>
  <si>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</si>
  <si>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</si>
  <si>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</si>
  <si>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</si>
  <si>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</si>
  <si>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</si>
  <si>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</si>
  <si>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</si>
  <si>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</si>
  <si>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</si>
  <si>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</si>
  <si>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</si>
  <si>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</si>
  <si>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</si>
  <si>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</si>
  <si>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</si>
  <si>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</si>
  <si>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</si>
  <si>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</si>
  <si>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</si>
  <si>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</si>
  <si>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</si>
  <si>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</si>
  <si>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</si>
  <si>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</si>
  <si>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</si>
  <si>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</si>
  <si>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</si>
  <si>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</si>
  <si>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</si>
  <si>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</si>
  <si>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</si>
  <si>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</si>
  <si>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</si>
  <si>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</si>
  <si>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</si>
  <si>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</si>
  <si>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</si>
  <si>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</si>
  <si>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</si>
  <si>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</si>
  <si>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</si>
  <si>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</si>
  <si>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</si>
  <si>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</si>
  <si>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</si>
  <si>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</si>
  <si>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</si>
  <si>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</si>
  <si>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</si>
  <si>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</si>
  <si>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</si>
  <si>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</si>
  <si>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</si>
  <si>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</si>
  <si>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</si>
  <si>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</si>
  <si>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</si>
  <si>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</si>
  <si>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</si>
  <si>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</si>
  <si>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</si>
  <si>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</si>
  <si>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</si>
  <si>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</si>
  <si>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</si>
  <si>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</si>
  <si>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</si>
  <si>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</si>
  <si>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</si>
  <si>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</si>
  <si>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</si>
  <si>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</si>
  <si>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</si>
  <si>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</si>
  <si>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</si>
  <si>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</si>
  <si>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</si>
  <si>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</si>
  <si>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</si>
  <si>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</si>
  <si>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</si>
  <si>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</si>
  <si>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</si>
  <si>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</si>
  <si>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</si>
  <si>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</si>
  <si>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</si>
  <si>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</si>
  <si>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</si>
  <si>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</si>
  <si>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</si>
  <si>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</si>
  <si>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</si>
  <si>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</si>
  <si>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</si>
  <si>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</si>
  <si>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</si>
  <si>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</si>
  <si>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</si>
  <si>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</si>
  <si>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</si>
  <si>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</si>
  <si>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</si>
  <si>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</si>
  <si>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</si>
  <si>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</si>
  <si>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</si>
  <si>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</si>
  <si>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</si>
  <si>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</si>
  <si>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</si>
  <si>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</si>
  <si>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</si>
  <si>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</si>
  <si>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</si>
  <si>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</si>
  <si>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</si>
  <si>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</si>
  <si>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</si>
  <si>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</si>
  <si>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</si>
  <si>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</si>
  <si>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</si>
  <si>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</si>
  <si>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</si>
  <si>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</si>
  <si>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</si>
  <si>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</si>
  <si>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</si>
  <si>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</si>
  <si>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</si>
  <si>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</si>
  <si>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</si>
  <si>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</si>
  <si>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</si>
  <si>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</si>
  <si>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</si>
  <si>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</si>
  <si>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</si>
  <si>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</si>
  <si>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</si>
  <si>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</si>
  <si>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</si>
  <si>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</si>
  <si>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</si>
  <si>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</si>
  <si>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</si>
  <si>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</si>
  <si>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</si>
  <si>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</si>
  <si>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</si>
  <si>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</si>
  <si>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</si>
  <si>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</si>
  <si>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</si>
  <si>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</si>
  <si>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</si>
  <si>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</si>
  <si>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</si>
  <si>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</si>
  <si>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</si>
  <si>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</si>
  <si>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</si>
  <si>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</si>
  <si>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</si>
  <si>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</si>
  <si>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</si>
  <si>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</si>
  <si>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</si>
  <si>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</si>
  <si>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</si>
  <si>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</si>
  <si>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</si>
  <si>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</si>
  <si>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</si>
  <si>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</si>
  <si>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</si>
  <si>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</si>
  <si>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</si>
  <si>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</si>
  <si>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</si>
  <si>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</si>
  <si>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</si>
  <si>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</si>
  <si>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</si>
  <si>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</si>
  <si>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</si>
  <si>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</si>
  <si>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</si>
  <si>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</si>
  <si>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</si>
  <si>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</si>
  <si>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</si>
  <si>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</si>
  <si>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</si>
  <si>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</si>
  <si>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</si>
  <si>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</si>
  <si>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</si>
  <si>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</si>
  <si>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</si>
  <si>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</si>
  <si>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</si>
  <si>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</si>
  <si>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</si>
  <si>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</si>
  <si>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</si>
  <si>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</si>
  <si>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</si>
  <si>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</si>
  <si>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</si>
  <si>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</si>
  <si>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</si>
  <si>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</si>
  <si>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</si>
  <si>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</si>
  <si>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</si>
  <si>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</si>
  <si>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</si>
  <si>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</si>
  <si>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</si>
  <si>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</si>
  <si>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</si>
  <si>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</si>
  <si>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</si>
  <si>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</si>
  <si>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</si>
  <si>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</si>
  <si>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</si>
  <si>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</si>
  <si>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</si>
  <si>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</si>
  <si>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</si>
  <si>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</si>
  <si>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</si>
  <si>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</si>
  <si>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</si>
  <si>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</si>
  <si>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</si>
  <si>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</si>
  <si>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</si>
  <si>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</si>
  <si>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</si>
  <si>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</si>
  <si>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</si>
  <si>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</si>
  <si>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</si>
  <si>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</si>
  <si>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</si>
  <si>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</si>
  <si>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</si>
  <si>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</si>
  <si>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</si>
  <si>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</si>
  <si>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</si>
  <si>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</si>
  <si>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</si>
  <si>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</si>
  <si>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</si>
  <si>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</si>
  <si>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</si>
  <si>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</si>
  <si>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</si>
  <si>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</si>
  <si>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</si>
  <si>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</si>
  <si>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</si>
  <si>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</si>
  <si>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</si>
  <si>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</si>
  <si>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</si>
  <si>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</si>
  <si>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</si>
  <si>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</si>
  <si>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</si>
  <si>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</si>
  <si>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</si>
  <si>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</si>
  <si>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</si>
  <si>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</si>
  <si>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</si>
  <si>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</si>
  <si>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</si>
  <si>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</si>
  <si>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</si>
  <si>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</si>
  <si>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</si>
  <si>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</si>
  <si>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</si>
  <si>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</si>
  <si>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</si>
  <si>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</si>
  <si>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</si>
  <si>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</si>
  <si>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</si>
  <si>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</si>
  <si>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</si>
  <si>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</si>
  <si>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</si>
  <si>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</si>
  <si>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</si>
  <si>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</si>
  <si>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</si>
  <si>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</si>
  <si>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</si>
  <si>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</si>
  <si>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</si>
  <si>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</si>
  <si>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</si>
  <si>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</si>
  <si>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</si>
  <si>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</si>
  <si>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</si>
  <si>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</si>
  <si>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</si>
  <si>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</si>
  <si>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</si>
  <si>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</si>
  <si>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</si>
  <si>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</si>
  <si>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</si>
  <si>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</si>
  <si>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</si>
  <si>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</si>
  <si>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</si>
  <si>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</si>
  <si>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</si>
  <si>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</si>
  <si>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</si>
  <si>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</si>
  <si>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</si>
  <si>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</si>
  <si>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</si>
  <si>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</si>
  <si>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</si>
  <si>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</si>
  <si>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</si>
  <si>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</si>
  <si>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</si>
  <si>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</si>
  <si>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</si>
  <si>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</si>
  <si>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</si>
  <si>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</si>
  <si>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</si>
  <si>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</si>
  <si>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</si>
  <si>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</si>
  <si>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</si>
  <si>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</si>
  <si>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</si>
  <si>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</si>
  <si>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</si>
  <si>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</si>
  <si>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</si>
  <si>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</si>
  <si>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</si>
  <si>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</si>
  <si>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</si>
  <si>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</si>
  <si>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</si>
  <si>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</si>
  <si>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</si>
  <si>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</si>
  <si>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</si>
  <si>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</si>
  <si>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</si>
  <si>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</si>
  <si>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</si>
  <si>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</si>
  <si>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</si>
  <si>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</si>
  <si>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</si>
  <si>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</si>
  <si>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</si>
  <si>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</si>
  <si>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</si>
  <si>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</si>
  <si>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</si>
  <si>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</si>
  <si>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</si>
  <si>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</si>
  <si>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</si>
  <si>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</si>
  <si>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</si>
  <si>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</si>
  <si>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</si>
  <si>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</si>
  <si>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</si>
  <si>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</si>
  <si>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</si>
  <si>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</si>
  <si>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</si>
  <si>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</si>
  <si>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</si>
  <si>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</si>
  <si>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</si>
  <si>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</si>
  <si>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</si>
  <si>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</si>
  <si>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</si>
  <si>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</si>
  <si>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</si>
  <si>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</si>
  <si>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</si>
  <si>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</si>
  <si>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</si>
  <si>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</si>
  <si>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</si>
  <si>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</si>
  <si>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</si>
  <si>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</si>
  <si>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</si>
  <si>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</si>
  <si>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</si>
  <si>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</si>
  <si>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</si>
  <si>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</si>
  <si>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</si>
  <si>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</si>
  <si>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</si>
  <si>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</si>
  <si>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</si>
  <si>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</si>
  <si>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</si>
  <si>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</si>
  <si>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</si>
  <si>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</si>
  <si>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</si>
  <si>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</si>
  <si>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</si>
  <si>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</si>
  <si>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</si>
  <si>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</si>
  <si>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</si>
  <si>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</si>
  <si>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</si>
  <si>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</si>
  <si>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</si>
  <si>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</si>
  <si>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</si>
  <si>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</si>
  <si>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</si>
  <si>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</si>
  <si>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</si>
  <si>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</si>
  <si>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</si>
  <si>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</si>
  <si>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</si>
  <si>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</si>
  <si>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</si>
  <si>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</si>
  <si>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</si>
  <si>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</si>
  <si>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</si>
  <si>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</si>
  <si>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</si>
  <si>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</si>
  <si>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</si>
  <si>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</si>
  <si>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</si>
  <si>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</si>
  <si>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</si>
  <si>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</si>
  <si>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</si>
  <si>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</si>
  <si>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</si>
  <si>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</si>
  <si>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</si>
  <si>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</si>
  <si>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</si>
  <si>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</si>
  <si>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</si>
  <si>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</si>
  <si>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</si>
  <si>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</si>
  <si>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</si>
  <si>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</si>
  <si>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</si>
  <si>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</si>
  <si>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</si>
  <si>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</si>
  <si>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</si>
  <si>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</si>
  <si>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</si>
  <si>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</si>
  <si>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</si>
  <si>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</si>
  <si>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</si>
  <si>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</si>
  <si>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</si>
  <si>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</si>
  <si>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</si>
  <si>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</si>
  <si>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</si>
  <si>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</si>
  <si>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</si>
  <si>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</si>
  <si>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</si>
  <si>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</si>
  <si>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</si>
  <si>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</si>
  <si>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</si>
  <si>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</si>
  <si>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</si>
  <si>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</si>
  <si>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</si>
  <si>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</si>
  <si>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</si>
  <si>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</si>
  <si>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</si>
  <si>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</si>
  <si>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</si>
  <si>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</si>
  <si>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</si>
  <si>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</si>
  <si>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</si>
  <si>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</si>
  <si>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</si>
  <si>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</si>
  <si>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</si>
  <si>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</si>
  <si>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</si>
  <si>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</si>
  <si>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</si>
  <si>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</si>
  <si>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</si>
  <si>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</si>
  <si>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</si>
  <si>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</si>
  <si>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</si>
  <si>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</si>
  <si>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</si>
  <si>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</si>
  <si>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</si>
  <si>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</si>
  <si>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</si>
  <si>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</si>
  <si>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</si>
  <si>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</si>
  <si>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</si>
  <si>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</si>
  <si>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</si>
  <si>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</si>
  <si>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</si>
  <si>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</si>
  <si>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</si>
  <si>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</si>
  <si>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</si>
  <si>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</si>
  <si>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</si>
  <si>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</si>
  <si>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</si>
  <si>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</si>
  <si>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</si>
  <si>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</si>
  <si>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</si>
  <si>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</si>
  <si>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</si>
  <si>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</si>
  <si>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</si>
  <si>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</si>
  <si>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</si>
  <si>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</si>
  <si>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</si>
  <si>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</si>
  <si>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</si>
  <si>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</si>
  <si>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</si>
  <si>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</si>
  <si>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</si>
  <si>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</si>
  <si>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</si>
  <si>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</si>
  <si>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</si>
  <si>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</si>
  <si>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</si>
  <si>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</si>
  <si>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</si>
  <si>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</si>
  <si>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</si>
  <si>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</si>
  <si>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</si>
  <si>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</si>
  <si>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</si>
  <si>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</si>
  <si>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</si>
  <si>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</si>
  <si>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</si>
  <si>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</si>
  <si>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</si>
  <si>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</si>
  <si>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</si>
  <si>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</si>
  <si>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</si>
  <si>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</si>
  <si>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</si>
  <si>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</si>
  <si>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</si>
  <si>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</si>
  <si>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</si>
  <si>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</si>
  <si>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</si>
  <si>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</si>
  <si>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</si>
  <si>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</si>
  <si>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</si>
  <si>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</si>
  <si>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</si>
  <si>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</si>
  <si>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</si>
  <si>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</si>
  <si>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</si>
  <si>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</si>
  <si>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</si>
  <si>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</si>
  <si>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</si>
  <si>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</si>
  <si>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</si>
  <si>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</si>
  <si>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</si>
  <si>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</si>
  <si>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</si>
  <si>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</si>
  <si>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</si>
  <si>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</si>
  <si>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</si>
  <si>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</si>
  <si>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</si>
  <si>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</si>
  <si>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</si>
  <si>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</si>
  <si>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</si>
  <si>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</si>
  <si>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</si>
  <si>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</si>
  <si>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</si>
  <si>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</si>
  <si>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</si>
  <si>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</si>
  <si>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</si>
  <si>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</si>
  <si>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</si>
  <si>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</si>
  <si>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</si>
  <si>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</si>
  <si>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</si>
  <si>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</si>
  <si>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</si>
  <si>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</si>
  <si>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</si>
  <si>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</si>
  <si>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</si>
  <si>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</si>
  <si>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</si>
  <si>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</si>
  <si>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</si>
  <si>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</si>
  <si>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</si>
  <si>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</si>
  <si>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</si>
  <si>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</si>
  <si>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</si>
  <si>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</si>
  <si>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</si>
  <si>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</si>
  <si>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</si>
  <si>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</si>
  <si>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</si>
  <si>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</si>
  <si>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</si>
  <si>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</si>
  <si>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</si>
  <si>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</si>
  <si>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</si>
  <si>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</si>
  <si>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</si>
  <si>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</si>
  <si>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</si>
  <si>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</si>
  <si>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</si>
  <si>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</si>
  <si>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</si>
  <si>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</si>
  <si>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</si>
  <si>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</si>
  <si>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</si>
  <si>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</si>
  <si>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</si>
  <si>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</si>
  <si>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</si>
  <si>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</si>
  <si>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</si>
  <si>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</si>
  <si>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</si>
  <si>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</si>
  <si>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</si>
  <si>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</si>
  <si>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</si>
  <si>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</si>
  <si>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</si>
  <si>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</si>
  <si>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</si>
  <si>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</si>
  <si>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</si>
  <si>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</si>
  <si>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</si>
  <si>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</si>
  <si>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</si>
  <si>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</si>
  <si>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</si>
  <si>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</si>
  <si>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</si>
  <si>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</si>
  <si>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</si>
  <si>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</si>
  <si>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</si>
  <si>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</si>
  <si>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</si>
  <si>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</si>
  <si>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</si>
  <si>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</si>
  <si>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</si>
  <si>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</si>
  <si>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</si>
  <si>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</si>
  <si>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</si>
  <si>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</si>
  <si>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</si>
  <si>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</si>
  <si>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</si>
  <si>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</si>
  <si>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</si>
  <si>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</si>
  <si>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</si>
  <si>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</si>
  <si>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</si>
  <si>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</si>
  <si>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</si>
  <si>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</si>
  <si>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</si>
  <si>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</si>
  <si>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</si>
  <si>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</si>
  <si>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</si>
  <si>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</si>
  <si>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</si>
  <si>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</si>
  <si>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</si>
  <si>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</si>
  <si>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</si>
  <si>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</si>
  <si>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</si>
  <si>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</si>
  <si>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</si>
  <si>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</si>
  <si>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</si>
  <si>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</si>
  <si>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</si>
  <si>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</si>
  <si>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</si>
  <si>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</si>
  <si>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</si>
  <si>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</si>
  <si>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</si>
  <si>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</si>
  <si>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</si>
  <si>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</si>
  <si>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</si>
  <si>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</si>
  <si>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</si>
  <si>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</si>
  <si>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</si>
  <si>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</si>
  <si>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</si>
  <si>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</si>
  <si>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</si>
  <si>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</si>
  <si>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</si>
  <si>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</si>
  <si>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</si>
  <si>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</si>
  <si>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</si>
  <si>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</si>
  <si>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</si>
  <si>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</si>
  <si>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</si>
  <si>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</si>
  <si>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</si>
  <si>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</si>
  <si>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</si>
  <si>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</si>
  <si>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</si>
  <si>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</si>
  <si>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</si>
  <si>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</si>
  <si>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</si>
  <si>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</si>
  <si>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</si>
  <si>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</si>
  <si>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</si>
  <si>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</si>
  <si>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</si>
  <si>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</si>
  <si>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</si>
  <si>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</si>
  <si>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</si>
  <si>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</si>
  <si>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</si>
  <si>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</si>
  <si>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</si>
  <si>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</si>
  <si>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</si>
  <si>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</si>
  <si>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</si>
  <si>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</si>
  <si>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</si>
  <si>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</si>
  <si>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</si>
  <si>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</si>
  <si>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</si>
  <si>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</si>
  <si>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</si>
  <si>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</si>
  <si>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</si>
  <si>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</si>
  <si>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</si>
  <si>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</si>
  <si>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</si>
  <si>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</si>
  <si>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</si>
  <si>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</si>
  <si>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</si>
  <si>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</si>
  <si>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</si>
  <si>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</si>
  <si>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</si>
  <si>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</si>
  <si>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</si>
  <si>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</si>
  <si>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</si>
  <si>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</si>
  <si>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</si>
  <si>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</si>
  <si>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</si>
  <si>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</si>
  <si>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</si>
  <si>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</si>
  <si>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</si>
  <si>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</si>
  <si>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</si>
  <si>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</si>
  <si>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</si>
  <si>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</si>
  <si>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</si>
  <si>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</si>
  <si>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</si>
  <si>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</si>
  <si>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</si>
  <si>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</si>
  <si>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</si>
  <si>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</si>
  <si>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</si>
  <si>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</si>
  <si>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</si>
  <si>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</si>
  <si>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</si>
  <si>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</si>
  <si>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</si>
  <si>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</si>
  <si>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</si>
  <si>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</si>
  <si>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</si>
  <si>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</si>
  <si>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</si>
  <si>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</si>
  <si>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</si>
  <si>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</si>
  <si>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</si>
  <si>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</si>
  <si>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</si>
  <si>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</si>
  <si>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</si>
  <si>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</si>
  <si>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</si>
  <si>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</si>
  <si>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</si>
  <si>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</si>
  <si>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</si>
  <si>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</si>
  <si>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</si>
  <si>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</si>
  <si>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</si>
  <si>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</si>
  <si>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</si>
  <si>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</si>
  <si>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</si>
  <si>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</si>
  <si>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</si>
  <si>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</si>
  <si>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</si>
  <si>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</si>
  <si>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</si>
  <si>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</si>
  <si>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</si>
  <si>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</si>
  <si>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</si>
  <si>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</si>
  <si>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</si>
  <si>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</si>
  <si>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</si>
  <si>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</si>
  <si>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</si>
  <si>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</si>
  <si>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</si>
  <si>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</si>
  <si>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</si>
  <si>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</si>
  <si>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</si>
  <si>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</si>
  <si>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</si>
  <si>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</si>
  <si>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</si>
  <si>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</si>
  <si>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</si>
  <si>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</si>
  <si>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</si>
  <si>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</si>
  <si>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</si>
  <si>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</si>
  <si>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</si>
  <si>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</si>
  <si>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</si>
  <si>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</si>
  <si>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</si>
  <si>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</si>
  <si>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</si>
  <si>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</si>
  <si>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</si>
  <si>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</si>
  <si>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</si>
  <si>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</si>
  <si>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</si>
  <si>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</si>
  <si>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</si>
  <si>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</si>
  <si>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</si>
  <si>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</si>
  <si>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</si>
  <si>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</si>
  <si>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</si>
  <si>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</si>
  <si>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</si>
  <si>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</si>
  <si>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</si>
  <si>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</si>
  <si>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</si>
  <si>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</si>
  <si>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</si>
  <si>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</si>
  <si>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</si>
  <si>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</si>
  <si>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</si>
  <si>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</si>
  <si>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</si>
  <si>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</si>
  <si>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</si>
  <si>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</si>
  <si>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</si>
  <si>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</si>
  <si>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</si>
  <si>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</si>
  <si>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</si>
  <si>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</si>
  <si>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</si>
  <si>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</si>
  <si>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</si>
  <si>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</si>
  <si>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</si>
  <si>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</si>
  <si>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</si>
  <si>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</si>
  <si>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</si>
  <si>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</si>
  <si>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</si>
  <si>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</si>
  <si>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</si>
  <si>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</si>
  <si>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</si>
  <si>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</si>
  <si>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</si>
  <si>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</si>
  <si>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</si>
  <si>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</si>
  <si>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</si>
  <si>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</si>
  <si>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</si>
  <si>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</si>
  <si>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</si>
  <si>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</si>
  <si>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</si>
  <si>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</si>
  <si>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</si>
  <si>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</si>
  <si>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</si>
  <si>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</si>
  <si>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</si>
  <si>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</si>
  <si>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</si>
  <si>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</si>
  <si>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</si>
  <si>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</si>
  <si>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</si>
  <si>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</si>
  <si>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</si>
  <si>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</si>
  <si>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</si>
  <si>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</si>
  <si>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</si>
  <si>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</si>
  <si>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</si>
  <si>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</si>
  <si>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</si>
  <si>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</si>
  <si>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</si>
  <si>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</si>
  <si>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</si>
  <si>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</si>
  <si>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</si>
  <si>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</si>
  <si>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</si>
  <si>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</si>
  <si>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</si>
  <si>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</si>
  <si>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</si>
  <si>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</si>
  <si>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</si>
  <si>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</si>
  <si>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</si>
  <si>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</si>
  <si>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</si>
  <si>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</si>
  <si>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</si>
  <si>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</si>
  <si>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</si>
  <si>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</si>
  <si>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</si>
  <si>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</si>
  <si>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</si>
  <si>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</si>
  <si>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</si>
  <si>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</si>
  <si>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</si>
  <si>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</si>
  <si>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</si>
  <si>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</si>
  <si>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</si>
  <si>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</si>
  <si>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</si>
  <si>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</si>
  <si>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</si>
  <si>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</si>
  <si>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</si>
  <si>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</si>
  <si>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</si>
  <si>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</si>
  <si>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</si>
  <si>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</si>
  <si>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</si>
  <si>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</si>
  <si>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</si>
  <si>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</si>
  <si>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</si>
  <si>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</si>
  <si>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</si>
  <si>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</si>
  <si>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</si>
  <si>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</si>
  <si>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</si>
  <si>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</si>
  <si>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</si>
  <si>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</si>
  <si>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</si>
  <si>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</si>
  <si>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</si>
  <si>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</si>
  <si>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</si>
  <si>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</si>
  <si>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</si>
  <si>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</si>
  <si>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</si>
  <si>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</si>
  <si>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</si>
  <si>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</si>
  <si>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</si>
  <si>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</si>
  <si>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</si>
  <si>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</si>
  <si>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</si>
  <si>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</si>
  <si>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</si>
  <si>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</si>
  <si>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</si>
  <si>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</si>
  <si>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</si>
  <si>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</si>
  <si>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</si>
  <si>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</si>
  <si>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</si>
  <si>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</si>
  <si>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</si>
  <si>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</si>
  <si>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</si>
  <si>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</si>
  <si>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</si>
  <si>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</si>
  <si>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</si>
  <si>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</si>
  <si>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</si>
  <si>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</si>
  <si>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</si>
  <si>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</si>
  <si>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</si>
  <si>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</si>
  <si>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</si>
  <si>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</si>
  <si>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</si>
  <si>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</si>
  <si>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</si>
  <si>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</si>
  <si>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</si>
  <si>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</si>
  <si>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</si>
  <si>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</si>
  <si>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</si>
  <si>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</si>
  <si>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</si>
  <si>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</si>
  <si>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</si>
  <si>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</si>
  <si>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</si>
  <si>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</si>
  <si>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</si>
  <si>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</si>
  <si>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</si>
  <si>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</si>
  <si>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</si>
  <si>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</si>
  <si>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</si>
  <si>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</si>
  <si>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</si>
  <si>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</si>
  <si>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</si>
  <si>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</si>
  <si>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</si>
  <si>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</si>
  <si>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</si>
  <si>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</si>
  <si>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</si>
  <si>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</si>
  <si>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</si>
  <si>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</si>
  <si>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</si>
  <si>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</si>
  <si>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</si>
  <si>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</si>
  <si>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</si>
  <si>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</si>
  <si>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</si>
  <si>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</si>
  <si>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</si>
  <si>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</si>
  <si>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</si>
  <si>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</si>
  <si>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</si>
  <si>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</si>
  <si>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</si>
  <si>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</si>
  <si>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</si>
  <si>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</si>
  <si>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</si>
  <si>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</si>
  <si>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</si>
  <si>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</si>
  <si>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</si>
  <si>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</si>
  <si>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</si>
  <si>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</si>
  <si>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</si>
  <si>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</si>
  <si>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</si>
  <si>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</si>
  <si>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</si>
  <si>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</si>
  <si>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</si>
  <si>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</si>
  <si>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</si>
  <si>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</si>
  <si>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</si>
  <si>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</si>
  <si>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</si>
  <si>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</si>
  <si>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</si>
  <si>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</si>
  <si>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</si>
  <si>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</si>
  <si>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</si>
  <si>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</si>
  <si>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</si>
  <si>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</si>
  <si>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</si>
  <si>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</si>
  <si>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</si>
  <si>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</si>
  <si>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</si>
  <si>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</si>
  <si>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</si>
  <si>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</si>
  <si>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</si>
  <si>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</si>
  <si>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</si>
  <si>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</si>
  <si>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</si>
  <si>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</si>
  <si>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</si>
  <si>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</si>
  <si>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</si>
  <si>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</si>
  <si>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</si>
  <si>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</si>
  <si>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</si>
  <si>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</si>
  <si>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</si>
  <si>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</si>
  <si>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</si>
  <si>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</si>
  <si>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</si>
  <si>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</si>
  <si>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</si>
  <si>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</si>
  <si>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</si>
  <si>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</si>
  <si>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</si>
  <si>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</si>
  <si>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</si>
  <si>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</si>
  <si>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</si>
  <si>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</si>
  <si>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</si>
  <si>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</si>
  <si>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</si>
  <si>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</si>
  <si>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</si>
  <si>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</si>
  <si>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</si>
  <si>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</si>
  <si>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</si>
  <si>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</si>
  <si>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</si>
  <si>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</si>
  <si>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</si>
  <si>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</si>
  <si>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</si>
  <si>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</si>
  <si>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</si>
  <si>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</si>
  <si>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</si>
  <si>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</si>
  <si>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</si>
  <si>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</si>
  <si>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</si>
  <si>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</si>
  <si>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</si>
  <si>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</si>
  <si>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</si>
  <si>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</si>
  <si>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</si>
  <si>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</si>
  <si>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</si>
  <si>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</si>
  <si>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</si>
  <si>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</si>
  <si>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</si>
  <si>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</si>
  <si>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</si>
  <si>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</si>
  <si>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</si>
  <si>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</si>
  <si>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</si>
  <si>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</si>
  <si>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</si>
  <si>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</si>
  <si>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</si>
  <si>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</si>
  <si>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</si>
  <si>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</si>
  <si>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</si>
  <si>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</si>
  <si>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</si>
  <si>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</si>
  <si>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</si>
  <si>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</si>
  <si>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</si>
  <si>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</si>
  <si>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</si>
  <si>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</si>
  <si>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</si>
  <si>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</si>
  <si>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</si>
  <si>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</si>
  <si>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</si>
  <si>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</si>
  <si>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</si>
  <si>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</si>
  <si>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</si>
  <si>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</si>
  <si>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</si>
  <si>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</si>
  <si>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</si>
  <si>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</si>
  <si>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</si>
  <si>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</si>
  <si>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</si>
  <si>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</si>
  <si>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</si>
  <si>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</si>
  <si>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</si>
  <si>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</si>
  <si>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</si>
  <si>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</si>
  <si>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</si>
  <si>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</si>
  <si>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</si>
  <si>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</si>
  <si>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</si>
  <si>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</si>
  <si>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</si>
  <si>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</si>
  <si>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</si>
  <si>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</si>
  <si>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</si>
  <si>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</si>
  <si>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</si>
  <si>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</si>
  <si>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</si>
  <si>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</si>
  <si>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</si>
  <si>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</si>
  <si>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</si>
  <si>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</si>
  <si>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</si>
  <si>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</si>
  <si>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</si>
  <si>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</si>
  <si>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</si>
  <si>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</si>
  <si>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</si>
  <si>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</si>
  <si>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</si>
  <si>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</si>
  <si>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</si>
  <si>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</si>
  <si>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</si>
  <si>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</si>
  <si>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</si>
  <si>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</si>
  <si>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</si>
  <si>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</si>
  <si>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</si>
  <si>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</si>
  <si>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</si>
  <si>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</si>
  <si>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</si>
  <si>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</si>
  <si>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</si>
  <si>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</si>
  <si>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</si>
  <si>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</si>
  <si>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</si>
  <si>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</si>
  <si>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</si>
  <si>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</si>
  <si>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</si>
  <si>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</si>
  <si>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</si>
  <si>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</si>
  <si>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</si>
  <si>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</si>
  <si>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</si>
  <si>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</si>
  <si>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</si>
  <si>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</si>
  <si>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</si>
  <si>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</si>
  <si>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</si>
  <si>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</si>
  <si>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</si>
  <si>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</si>
  <si>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</si>
  <si>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</si>
  <si>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</si>
  <si>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</si>
  <si>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</si>
  <si>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</si>
  <si>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</si>
  <si>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</si>
  <si>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</si>
  <si>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</si>
  <si>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</si>
  <si>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</si>
  <si>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</si>
  <si>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</si>
  <si>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</si>
  <si>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</si>
  <si>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</si>
  <si>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</si>
  <si>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</si>
  <si>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</si>
  <si>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</si>
  <si>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</si>
  <si>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</si>
  <si>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</si>
  <si>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</si>
  <si>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</si>
  <si>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</si>
  <si>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</si>
  <si>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</si>
  <si>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</si>
  <si>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</si>
  <si>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</si>
  <si>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</si>
  <si>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</si>
  <si>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</si>
  <si>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</si>
  <si>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</si>
  <si>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</si>
  <si>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</si>
  <si>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</si>
  <si>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</si>
  <si>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</si>
  <si>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</si>
  <si>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</si>
  <si>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</si>
  <si>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</si>
  <si>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</si>
  <si>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</si>
  <si>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</si>
  <si>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</si>
  <si>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</si>
  <si>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</si>
  <si>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</si>
  <si>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</si>
  <si>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</si>
  <si>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</si>
  <si>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</si>
  <si>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</si>
  <si>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</si>
  <si>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</si>
  <si>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</si>
  <si>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</si>
  <si>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</si>
  <si>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</si>
  <si>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</si>
  <si>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</si>
  <si>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</si>
  <si>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</si>
  <si>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</si>
  <si>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</si>
  <si>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</si>
  <si>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</si>
  <si>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</si>
  <si>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</si>
  <si>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</si>
  <si>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</si>
  <si>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</si>
  <si>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</si>
  <si>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</si>
  <si>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</si>
  <si>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</si>
  <si>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</si>
  <si>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</si>
  <si>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</si>
  <si>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</si>
  <si>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</si>
  <si>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</si>
  <si>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</si>
  <si>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</si>
  <si>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</si>
  <si>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</si>
  <si>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</si>
  <si>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</si>
  <si>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</si>
  <si>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</si>
  <si>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</si>
  <si>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</si>
  <si>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</si>
  <si>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</si>
  <si>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</si>
  <si>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</si>
  <si>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</si>
  <si>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</si>
  <si>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</si>
  <si>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</si>
  <si>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</si>
  <si>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</si>
  <si>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</si>
  <si>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</si>
  <si>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</si>
  <si>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</si>
  <si>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</si>
  <si>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</si>
  <si>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</si>
  <si>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</si>
  <si>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</si>
  <si>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</si>
  <si>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</si>
  <si>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</si>
  <si>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</si>
  <si>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</si>
  <si>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</si>
  <si>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</si>
  <si>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</si>
  <si>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</si>
  <si>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</si>
  <si>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</si>
  <si>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</si>
  <si>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</si>
  <si>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</si>
  <si>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</si>
  <si>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</si>
  <si>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</si>
  <si>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</si>
  <si>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</si>
  <si>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</si>
  <si>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</si>
  <si>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</si>
  <si>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</si>
  <si>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</si>
  <si>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</si>
  <si>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</si>
  <si>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</si>
  <si>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</si>
  <si>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</si>
  <si>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</si>
  <si>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</si>
  <si>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</si>
  <si>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</si>
  <si>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</si>
  <si>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</si>
  <si>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</si>
  <si>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</si>
  <si>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</si>
  <si>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</si>
  <si>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</si>
  <si>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</si>
  <si>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</si>
  <si>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</si>
  <si>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</si>
  <si>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</si>
  <si>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</si>
  <si>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</si>
  <si>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</si>
  <si>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</si>
  <si>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</si>
  <si>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</si>
  <si>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</si>
  <si>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</si>
  <si>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</si>
  <si>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</si>
  <si>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</si>
  <si>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</si>
  <si>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</si>
  <si>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</si>
  <si>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</si>
  <si>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</si>
  <si>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</si>
  <si>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</si>
  <si>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</si>
  <si>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</si>
  <si>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</si>
  <si>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</si>
  <si>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</si>
  <si>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</si>
  <si>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</si>
  <si>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</si>
  <si>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</si>
  <si>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</si>
  <si>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</si>
  <si>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</si>
  <si>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</si>
  <si>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</si>
  <si>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</si>
  <si>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</si>
  <si>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</si>
  <si>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</si>
  <si>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</si>
  <si>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</si>
  <si>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</si>
  <si>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</si>
  <si>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</si>
  <si>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</si>
  <si>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</si>
  <si>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</si>
  <si>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</si>
  <si>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</si>
  <si>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</si>
  <si>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</si>
  <si>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</si>
  <si>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</si>
  <si>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</si>
  <si>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</si>
  <si>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</si>
  <si>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</si>
  <si>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</si>
  <si>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</si>
  <si>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</si>
  <si>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</si>
  <si>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</si>
  <si>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</si>
  <si>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</si>
  <si>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</si>
  <si>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</si>
  <si>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</si>
  <si>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</si>
  <si>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</si>
  <si>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</si>
  <si>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</si>
  <si>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</si>
  <si>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</si>
  <si>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</si>
  <si>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</si>
  <si>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</si>
  <si>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</si>
  <si>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</si>
  <si>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</si>
  <si>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</si>
  <si>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</si>
  <si>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</si>
  <si>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</si>
  <si>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</si>
  <si>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</si>
  <si>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</si>
  <si>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</si>
  <si>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</si>
  <si>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</si>
  <si>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</si>
  <si>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</si>
  <si>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</si>
  <si>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</si>
  <si>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</si>
  <si>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</si>
  <si>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</si>
  <si>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</si>
  <si>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</si>
  <si>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</si>
  <si>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</si>
  <si>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</si>
  <si>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</si>
  <si>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</si>
  <si>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</si>
  <si>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</si>
  <si>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</si>
  <si>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</si>
  <si>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</si>
  <si>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</si>
  <si>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</si>
  <si>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</si>
  <si>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</si>
  <si>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</si>
  <si>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</si>
  <si>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</si>
  <si>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</si>
  <si>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</si>
  <si>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</si>
  <si>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</si>
  <si>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</si>
  <si>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</si>
  <si>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</si>
  <si>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</si>
  <si>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</si>
  <si>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</si>
  <si>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</si>
  <si>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</si>
  <si>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</si>
  <si>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</si>
  <si>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</si>
  <si>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</si>
  <si>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</si>
  <si>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</si>
  <si>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</si>
  <si>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</si>
  <si>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</si>
  <si>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</si>
  <si>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</si>
  <si>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</si>
  <si>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</si>
  <si>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</si>
  <si>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</si>
  <si>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</si>
  <si>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</si>
  <si>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</si>
  <si>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</si>
  <si>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</si>
  <si>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</si>
  <si>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</si>
  <si>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</si>
  <si>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</si>
  <si>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</si>
  <si>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</si>
  <si>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</si>
  <si>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</si>
  <si>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</si>
  <si>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</si>
  <si>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</si>
  <si>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</si>
  <si>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</si>
  <si>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</si>
  <si>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</si>
  <si>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</si>
  <si>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</si>
  <si>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</si>
  <si>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</si>
  <si>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</si>
  <si>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</si>
  <si>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</si>
  <si>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</si>
  <si>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</si>
  <si>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</si>
  <si>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</si>
  <si>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</si>
  <si>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</si>
  <si>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</si>
  <si>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</si>
  <si>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</si>
  <si>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</si>
  <si>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</si>
  <si>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</si>
  <si>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</si>
  <si>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</si>
  <si>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</si>
  <si>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</si>
  <si>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</si>
  <si>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</si>
  <si>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</si>
  <si>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</si>
  <si>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</si>
  <si>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</si>
  <si>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</si>
  <si>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</si>
  <si>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</si>
  <si>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</si>
  <si>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</si>
  <si>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</si>
  <si>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</si>
  <si>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</si>
  <si>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</si>
  <si>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</si>
  <si>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</si>
  <si>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</si>
  <si>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</si>
  <si>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</si>
  <si>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</si>
  <si>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</si>
  <si>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</si>
  <si>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</si>
  <si>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</si>
  <si>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</si>
  <si>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</si>
  <si>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</si>
  <si>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</si>
  <si>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</si>
  <si>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</si>
  <si>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</si>
  <si>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</si>
  <si>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</si>
  <si>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</si>
  <si>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</si>
  <si>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</si>
  <si>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</si>
  <si>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</si>
  <si>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</si>
  <si>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</si>
  <si>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</si>
  <si>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</si>
  <si>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</si>
  <si>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</si>
  <si>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</si>
  <si>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</si>
  <si>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</si>
  <si>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</si>
  <si>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</si>
  <si>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</si>
  <si>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</si>
  <si>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</si>
  <si>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</si>
  <si>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</si>
  <si>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</si>
  <si>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</si>
  <si>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</si>
  <si>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</si>
  <si>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</si>
  <si>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</si>
  <si>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</si>
  <si>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</si>
  <si>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</si>
  <si>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</si>
  <si>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</si>
  <si>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</si>
  <si>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</si>
  <si>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</si>
  <si>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</si>
  <si>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</si>
  <si>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</si>
  <si>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</si>
  <si>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</si>
  <si>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</si>
  <si>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</si>
  <si>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</si>
  <si>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</si>
  <si>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</si>
  <si>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</si>
  <si>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</si>
  <si>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</si>
  <si>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</si>
  <si>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</si>
  <si>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</si>
  <si>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</si>
  <si>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</si>
  <si>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</si>
  <si>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</si>
  <si>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</si>
  <si>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</si>
  <si>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</si>
  <si>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</si>
  <si>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</si>
  <si>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</si>
  <si>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</si>
  <si>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</si>
  <si>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</si>
  <si>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</si>
  <si>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</si>
  <si>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</si>
  <si>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</si>
  <si>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</si>
  <si>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</si>
  <si>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</si>
  <si>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</si>
  <si>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</si>
  <si>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</si>
  <si>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</si>
  <si>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</si>
  <si>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</si>
  <si>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</si>
  <si>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</si>
  <si>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</si>
  <si>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</si>
  <si>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</si>
  <si>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</si>
  <si>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</si>
  <si>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</si>
  <si>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</si>
  <si>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</si>
  <si>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</si>
  <si>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</si>
  <si>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</si>
  <si>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</si>
  <si>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</si>
  <si>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</si>
  <si>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</si>
  <si>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</si>
  <si>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</si>
  <si>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</si>
  <si>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</si>
  <si>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</si>
  <si>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</si>
  <si>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</si>
  <si>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</si>
  <si>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</si>
  <si>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</si>
  <si>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</si>
  <si>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</si>
  <si>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</si>
  <si>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</si>
  <si>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</si>
  <si>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</si>
  <si>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</si>
  <si>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</si>
  <si>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</si>
  <si>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</si>
  <si>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</si>
  <si>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</si>
  <si>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</si>
  <si>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</si>
  <si>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</si>
  <si>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</si>
  <si>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</si>
  <si>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</si>
  <si>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</si>
  <si>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</si>
  <si>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</si>
  <si>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</si>
  <si>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</si>
  <si>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</si>
  <si>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</si>
  <si>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</si>
  <si>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</si>
  <si>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</si>
  <si>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</si>
  <si>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</si>
  <si>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</si>
  <si>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</si>
  <si>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</si>
  <si>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</si>
  <si>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</si>
  <si>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</si>
  <si>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</si>
  <si>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</si>
  <si>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</si>
  <si>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</si>
  <si>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</si>
  <si>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</si>
  <si>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</si>
  <si>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</si>
  <si>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</si>
  <si>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</si>
  <si>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</si>
  <si>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</si>
  <si>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</si>
  <si>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</si>
  <si>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</si>
  <si>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</si>
  <si>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</si>
  <si>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</si>
  <si>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</si>
  <si>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</si>
  <si>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</si>
  <si>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</si>
  <si>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</si>
  <si>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</si>
  <si>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</si>
  <si>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</si>
  <si>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</si>
  <si>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</si>
  <si>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</si>
  <si>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</si>
  <si>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</si>
  <si>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</si>
  <si>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</si>
  <si>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</si>
  <si>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</si>
  <si>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</si>
  <si>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</si>
  <si>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</si>
  <si>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</si>
  <si>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</si>
  <si>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</si>
  <si>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</si>
  <si>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</si>
  <si>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</si>
  <si>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</si>
  <si>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</si>
  <si>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</si>
  <si>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</si>
  <si>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</si>
  <si>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</si>
  <si>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</si>
  <si>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</si>
  <si>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</si>
  <si>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</si>
  <si>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</si>
  <si>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</si>
  <si>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</si>
  <si>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</si>
  <si>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</si>
  <si>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</si>
  <si>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</si>
  <si>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</si>
  <si>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</si>
  <si>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</si>
  <si>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</si>
  <si>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</si>
  <si>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</si>
  <si>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</si>
  <si>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</si>
  <si>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</si>
  <si>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</si>
  <si>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</si>
  <si>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</si>
  <si>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</si>
  <si>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</si>
  <si>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</si>
  <si>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</si>
  <si>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</si>
  <si>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</si>
  <si>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</si>
  <si>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</si>
  <si>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</si>
  <si>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</si>
  <si>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</si>
  <si>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</si>
  <si>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</si>
  <si>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</si>
  <si>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</si>
  <si>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</si>
  <si>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</si>
  <si>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</si>
  <si>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</si>
  <si>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</si>
  <si>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</si>
  <si>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</si>
  <si>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</si>
  <si>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</si>
  <si>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</si>
  <si>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</si>
  <si>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</si>
  <si>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</si>
  <si>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</si>
  <si>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</si>
  <si>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</si>
  <si>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</si>
  <si>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</si>
  <si>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</si>
  <si>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</si>
  <si>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</si>
  <si>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</si>
  <si>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</si>
  <si>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</si>
  <si>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</si>
  <si>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</si>
  <si>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</si>
  <si>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</si>
  <si>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</si>
  <si>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</si>
  <si>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</si>
  <si>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</si>
  <si>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</si>
  <si>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</si>
  <si>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</si>
  <si>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</si>
  <si>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</si>
  <si>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</si>
  <si>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</si>
  <si>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</si>
  <si>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</si>
  <si>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</si>
  <si>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</si>
  <si>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</si>
  <si>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</si>
  <si>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</si>
  <si>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</si>
  <si>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</si>
  <si>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</si>
  <si>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</si>
  <si>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</si>
  <si>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</si>
  <si>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</si>
  <si>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Sharepoint URL for ListData and Business RiskProfiles</t>
  </si>
  <si>
    <t>https://scopegroup.sharepoint.com/sites/ScopeData/O%20%20Corporates/Database/Lists/Don't_Touch_List_Data_v2.xlsx</t>
  </si>
  <si>
    <t>Company identifier</t>
  </si>
  <si>
    <t>Company A</t>
  </si>
  <si>
    <t>2025E</t>
  </si>
  <si>
    <t>2026E</t>
  </si>
  <si>
    <t>2027E</t>
  </si>
  <si>
    <t>Locked</t>
  </si>
  <si>
    <t>No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</si>
</sst>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s>
  <fonts count="24">
    <font>
      <sz val="11"/>
      <color theme="1"/>
      <name val="Inter"/>
      <family val="2"/>
      <scheme val="minor"/>
    </font>
    <font>
      <sz val="11"/>
      <color theme="1"/>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6">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3">
    <xf numFmtId="0" fontId="0" fillId="0" borderId="0"/>
    <xf numFmtId="9" fontId="1" fillId="0" borderId="0"/>
    <xf numFmtId="0" fontId="2" fillId="0" borderId="0">
      <alignment horizontal="left" vertical="top" wrapText="1"/>
    </xf>
    <xf numFmtId="165" fontId="2" fillId="0" borderId="0"/>
    <xf numFmtId="166" fontId="1" fillId="0" borderId="0"/>
    <xf numFmtId="0" fontId="1" fillId="0" borderId="0"/>
    <xf numFmtId="0" fontId="13" fillId="0" borderId="0"/>
    <xf numFmtId="167" fontId="14" fillId="0" borderId="0"/>
    <xf numFmtId="0" fontId="1" fillId="0" borderId="0"/>
    <xf numFmtId="168" fontId="9" fillId="0" borderId="0"/>
    <xf numFmtId="43" fontId="1" fillId="0" borderId="0"/>
    <xf numFmtId="0" fontId="19" fillId="0" borderId="0"/>
    <xf numFmtId="0" fontId="23" fillId="0" borderId="0"/>
  </cellStyleXfs>
  <cellXfs count="90">
    <xf numFmtId="0" fontId="0" fillId="0" borderId="0" xfId="0"/>
    <xf numFmtId="0" fontId="11" fillId="0" borderId="0" xfId="0" applyFont="1"/>
    <xf numFmtId="0" fontId="11" fillId="7" borderId="0" xfId="0" applyFont="1" applyFill="1" applyAlignment="1">
      <alignment vertical="center"/>
    </xf>
    <xf numFmtId="0" fontId="11" fillId="7" borderId="0" xfId="0" applyFont="1" applyFill="1" applyAlignment="1">
      <alignment horizontal="center" vertical="center"/>
    </xf>
    <xf numFmtId="0" fontId="11" fillId="7" borderId="0" xfId="0" applyFont="1" applyFill="1"/>
    <xf numFmtId="0" fontId="12" fillId="7" borderId="0" xfId="0" applyFont="1" applyFill="1"/>
    <xf numFmtId="0" fontId="11" fillId="0" borderId="0" xfId="0" applyFont="1" applyAlignment="1">
      <alignment vertical="center"/>
    </xf>
    <xf numFmtId="0" fontId="11" fillId="0" borderId="0" xfId="0" applyFont="1" applyAlignment="1">
      <alignment horizontal="center" vertical="center"/>
    </xf>
    <xf numFmtId="0" fontId="5" fillId="7" borderId="21"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7" fillId="7" borderId="0" xfId="0" applyFont="1" applyFill="1" applyAlignment="1">
      <alignment horizontal="center" vertical="center" wrapText="1"/>
    </xf>
    <xf numFmtId="0" fontId="4" fillId="0" borderId="23" xfId="0" applyFont="1" applyBorder="1" applyAlignment="1">
      <alignment horizontal="left" vertical="center"/>
    </xf>
    <xf numFmtId="0" fontId="4" fillId="3" borderId="23" xfId="0" applyFont="1" applyFill="1" applyBorder="1" applyAlignment="1">
      <alignment horizontal="left" vertical="center"/>
    </xf>
    <xf numFmtId="0" fontId="7" fillId="7" borderId="0" xfId="0" applyFont="1" applyFill="1" applyProtection="1">
      <protection locked="0"/>
    </xf>
    <xf numFmtId="0" fontId="4" fillId="0" borderId="0" xfId="0" applyFont="1" applyAlignment="1">
      <alignment horizontal="left" vertical="center"/>
    </xf>
    <xf numFmtId="0" fontId="3" fillId="2" borderId="5" xfId="0" applyFont="1" applyFill="1" applyBorder="1" applyAlignment="1">
      <alignment vertical="center" wrapText="1"/>
    </xf>
    <xf numFmtId="0" fontId="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4" fillId="5" borderId="0" xfId="0" applyFont="1" applyFill="1" applyAlignment="1">
      <alignment vertical="center"/>
    </xf>
    <xf numFmtId="0" fontId="15" fillId="5" borderId="0" xfId="0" applyFont="1" applyFill="1" applyAlignment="1">
      <alignment vertical="center"/>
    </xf>
    <xf numFmtId="0" fontId="4" fillId="0" borderId="0" xfId="0" quotePrefix="1" applyFont="1" applyAlignment="1">
      <alignment vertical="center"/>
    </xf>
    <xf numFmtId="0" fontId="16" fillId="5" borderId="0" xfId="0" applyFont="1" applyFill="1" applyAlignment="1">
      <alignment vertical="center"/>
    </xf>
    <xf numFmtId="0" fontId="4" fillId="9" borderId="0" xfId="0" applyFont="1" applyFill="1" applyAlignment="1">
      <alignment horizontal="left" vertical="center"/>
    </xf>
    <xf numFmtId="0" fontId="17" fillId="0" borderId="0" xfId="0" applyFont="1" applyAlignment="1">
      <alignment vertical="center"/>
    </xf>
    <xf numFmtId="0" fontId="4" fillId="5" borderId="0" xfId="0" applyFont="1" applyFill="1" applyAlignment="1">
      <alignment vertical="center" wrapText="1"/>
    </xf>
    <xf numFmtId="0" fontId="4" fillId="0" borderId="0" xfId="0" applyFont="1" applyAlignment="1">
      <alignment vertical="center" wrapText="1"/>
    </xf>
    <xf numFmtId="0" fontId="4" fillId="0" borderId="0" xfId="0" applyFont="1" applyAlignment="1">
      <alignment vertical="top" wrapText="1"/>
    </xf>
    <xf numFmtId="0" fontId="4" fillId="0" borderId="0" xfId="0" applyFont="1" applyAlignment="1">
      <alignment vertical="top"/>
    </xf>
    <xf numFmtId="0" fontId="4" fillId="5" borderId="0" xfId="0" applyFont="1" applyFill="1" applyAlignment="1">
      <alignment vertical="top" wrapText="1"/>
    </xf>
    <xf numFmtId="9" fontId="4" fillId="0" borderId="0" xfId="0" applyNumberFormat="1" applyFont="1" applyAlignment="1">
      <alignment horizontal="left" vertical="center"/>
    </xf>
    <xf numFmtId="0" fontId="4" fillId="10" borderId="0" xfId="0" applyFont="1" applyFill="1" applyAlignment="1">
      <alignment horizontal="left" vertical="center"/>
    </xf>
    <xf numFmtId="0" fontId="18" fillId="0" borderId="0" xfId="0" applyFont="1"/>
    <xf numFmtId="0" fontId="3" fillId="2" borderId="7" xfId="0" applyFont="1" applyFill="1" applyBorder="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wrapText="1"/>
    </xf>
    <xf numFmtId="0" fontId="16" fillId="0" borderId="3" xfId="0" applyFont="1" applyBorder="1" applyAlignment="1">
      <alignment vertical="center"/>
    </xf>
    <xf numFmtId="0" fontId="4" fillId="11" borderId="4" xfId="0" applyFont="1" applyFill="1" applyBorder="1" applyAlignment="1">
      <alignment vertical="center" wrapText="1"/>
    </xf>
    <xf numFmtId="0" fontId="0" fillId="12" borderId="0" xfId="0" applyFill="1"/>
    <xf numFmtId="0" fontId="19" fillId="0" borderId="0" xfId="11"/>
    <xf numFmtId="0" fontId="10" fillId="4" borderId="0" xfId="0" applyFont="1" applyFill="1" applyAlignment="1">
      <alignment horizontal="left" vertical="center"/>
    </xf>
    <xf numFmtId="0" fontId="5" fillId="7" borderId="0" xfId="0" applyFont="1" applyFill="1" applyAlignment="1">
      <alignment horizontal="center" vertical="center" wrapText="1"/>
    </xf>
    <xf numFmtId="0" fontId="18" fillId="0" borderId="23" xfId="0" applyFont="1" applyBorder="1" applyAlignment="1">
      <alignment horizontal="left" vertical="center"/>
    </xf>
    <xf numFmtId="49" fontId="18" fillId="0" borderId="0" xfId="0" applyNumberFormat="1" applyFont="1" applyAlignment="1">
      <alignment horizontal="left" vertical="center"/>
    </xf>
    <xf numFmtId="0" fontId="18" fillId="3" borderId="23" xfId="0" applyFont="1" applyFill="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9" fontId="18" fillId="0" borderId="0" xfId="1" applyFont="1" applyAlignment="1">
      <alignment horizontal="left" vertical="center"/>
    </xf>
    <xf numFmtId="0" fontId="18" fillId="3" borderId="0" xfId="0" applyFont="1" applyFill="1" applyAlignment="1">
      <alignment horizontal="left" vertical="center"/>
    </xf>
    <xf numFmtId="0" fontId="18" fillId="3" borderId="23" xfId="0" quotePrefix="1" applyFont="1" applyFill="1" applyBorder="1" applyAlignment="1">
      <alignment horizontal="left" vertical="center"/>
    </xf>
    <xf numFmtId="0" fontId="18" fillId="0" borderId="23" xfId="0" applyFont="1" applyBorder="1"/>
    <xf numFmtId="0" fontId="0" fillId="0" borderId="23" xfId="0" applyBorder="1"/>
    <xf numFmtId="0" fontId="0" fillId="3" borderId="23" xfId="0" applyFill="1" applyBorder="1"/>
    <xf numFmtId="0" fontId="18" fillId="0" borderId="0" xfId="0" applyFont="1" applyAlignment="1">
      <alignment horizontal="right"/>
    </xf>
    <xf numFmtId="0" fontId="20" fillId="7" borderId="0" xfId="0" applyFont="1" applyFill="1" applyAlignment="1">
      <alignment vertical="center"/>
    </xf>
    <xf numFmtId="0" fontId="6" fillId="14" borderId="1" xfId="0" applyFont="1" applyFill="1" applyBorder="1" applyAlignment="1">
      <alignment horizontal="right" vertical="center"/>
    </xf>
    <xf numFmtId="0" fontId="10" fillId="13" borderId="24" xfId="0" applyFont="1" applyFill="1" applyBorder="1" applyAlignment="1">
      <alignment horizontal="left" vertical="center"/>
    </xf>
    <xf numFmtId="0" fontId="10" fillId="13" borderId="25" xfId="0" applyFont="1" applyFill="1" applyBorder="1" applyAlignment="1">
      <alignment horizontal="left" vertical="center"/>
    </xf>
    <xf numFmtId="0" fontId="10" fillId="13" borderId="12" xfId="0" applyFont="1" applyFill="1" applyBorder="1" applyAlignment="1">
      <alignment vertical="center"/>
    </xf>
    <xf numFmtId="0" fontId="10" fillId="13" borderId="9" xfId="0" applyFont="1" applyFill="1" applyBorder="1" applyAlignment="1">
      <alignment horizontal="left" vertical="center"/>
    </xf>
    <xf numFmtId="0" fontId="10" fillId="13" borderId="9" xfId="0" applyFont="1" applyFill="1" applyBorder="1" applyAlignment="1">
      <alignment vertical="center"/>
    </xf>
    <xf numFmtId="0" fontId="21" fillId="8" borderId="10" xfId="0" applyFont="1" applyFill="1" applyBorder="1" applyAlignment="1">
      <alignment vertical="center"/>
    </xf>
    <xf numFmtId="0" fontId="21" fillId="8" borderId="11" xfId="0" applyFont="1" applyFill="1" applyBorder="1" applyAlignment="1">
      <alignment vertical="center"/>
    </xf>
    <xf numFmtId="0" fontId="21" fillId="8" borderId="9" xfId="0" applyFont="1" applyFill="1" applyBorder="1" applyAlignment="1">
      <alignment vertical="center"/>
    </xf>
    <xf numFmtId="0" fontId="21" fillId="8" borderId="8" xfId="0" applyFont="1" applyFill="1" applyBorder="1" applyAlignment="1">
      <alignment vertical="center"/>
    </xf>
    <xf numFmtId="0" fontId="21" fillId="8" borderId="26" xfId="0" applyFont="1" applyFill="1" applyBorder="1" applyAlignment="1">
      <alignment vertical="center"/>
    </xf>
    <xf numFmtId="0" fontId="6" fillId="14" borderId="2" xfId="0" applyFont="1" applyFill="1" applyBorder="1" applyAlignment="1">
      <alignment horizontal="left" vertical="center"/>
    </xf>
    <xf numFmtId="0" fontId="8" fillId="11" borderId="9" xfId="0" applyFont="1" applyFill="1" applyBorder="1" applyAlignment="1" applyProtection="1">
      <alignment horizontal="center" vertical="center" wrapText="1"/>
      <protection locked="0"/>
    </xf>
    <xf numFmtId="0" fontId="11" fillId="11" borderId="11" xfId="0" applyFont="1" applyFill="1" applyBorder="1" applyAlignment="1" applyProtection="1">
      <alignment horizontal="center" vertical="center"/>
      <protection locked="0"/>
    </xf>
    <xf numFmtId="0" fontId="11" fillId="11" borderId="13" xfId="0" applyFont="1" applyFill="1" applyBorder="1" applyAlignment="1">
      <alignment horizontal="center" vertical="center" wrapText="1"/>
    </xf>
    <xf numFmtId="0" fontId="11" fillId="11" borderId="14" xfId="0" applyFont="1" applyFill="1" applyBorder="1" applyAlignment="1" applyProtection="1">
      <alignment horizontal="center" vertical="center" wrapText="1"/>
      <protection locked="0"/>
    </xf>
    <xf numFmtId="0" fontId="11" fillId="11" borderId="15" xfId="0" applyFont="1" applyFill="1" applyBorder="1" applyAlignment="1" applyProtection="1">
      <alignment horizontal="center" vertical="center" wrapText="1"/>
      <protection locked="0"/>
    </xf>
    <xf numFmtId="0" fontId="11" fillId="11" borderId="16" xfId="0" applyFont="1" applyFill="1" applyBorder="1" applyAlignment="1" applyProtection="1">
      <alignment horizontal="center" vertical="center" wrapText="1"/>
      <protection locked="0"/>
    </xf>
    <xf numFmtId="0" fontId="11" fillId="11" borderId="17" xfId="0" applyFont="1" applyFill="1" applyBorder="1" applyAlignment="1" applyProtection="1">
      <alignment horizontal="center" vertical="center" wrapText="1"/>
      <protection locked="0"/>
    </xf>
    <xf numFmtId="0" fontId="11" fillId="11" borderId="18" xfId="0" applyFont="1" applyFill="1" applyBorder="1" applyAlignment="1" applyProtection="1">
      <alignment horizontal="center" vertical="center" wrapText="1"/>
      <protection locked="0"/>
    </xf>
    <xf numFmtId="9" fontId="11" fillId="11" borderId="19" xfId="1" applyFont="1" applyFill="1" applyBorder="1" applyAlignment="1" applyProtection="1">
      <alignment horizontal="center" vertical="center" wrapText="1"/>
      <protection locked="0"/>
    </xf>
    <xf numFmtId="9" fontId="11" fillId="11" borderId="20" xfId="1" applyFont="1" applyFill="1" applyBorder="1" applyAlignment="1" applyProtection="1">
      <alignment horizontal="center" vertical="center" wrapText="1"/>
      <protection locked="0"/>
    </xf>
    <xf numFmtId="0" fontId="11" fillId="11" borderId="12" xfId="0" applyFont="1" applyFill="1" applyBorder="1" applyAlignment="1" applyProtection="1">
      <alignment horizontal="center" vertical="center" wrapText="1"/>
      <protection locked="0"/>
    </xf>
    <xf numFmtId="0" fontId="7" fillId="11" borderId="10" xfId="0" applyFont="1" applyFill="1" applyBorder="1" applyAlignment="1" applyProtection="1">
      <alignment horizontal="center" vertical="center"/>
      <protection locked="0"/>
    </xf>
    <xf numFmtId="0" fontId="11" fillId="11" borderId="10" xfId="0"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protection locked="0"/>
    </xf>
    <xf numFmtId="0" fontId="22" fillId="7" borderId="0" xfId="0" applyFont="1" applyFill="1"/>
    <xf numFmtId="0" fontId="22" fillId="7" borderId="0" xfId="0" applyFont="1" applyFill="1" applyProtection="1">
      <protection locked="0"/>
    </xf>
    <xf numFmtId="0" fontId="11" fillId="7" borderId="27" xfId="0" applyFont="1" applyFill="1" applyBorder="1" applyAlignment="1">
      <alignment horizontal="center" vertical="center" wrapText="1"/>
    </xf>
    <xf numFmtId="0" fontId="11" fillId="7" borderId="28" xfId="0" applyFont="1" applyFill="1" applyBorder="1" applyAlignment="1">
      <alignment horizontal="center" vertical="center" wrapText="1"/>
    </xf>
    <xf numFmtId="0" fontId="11" fillId="7" borderId="29" xfId="0" applyFont="1" applyFill="1" applyBorder="1" applyAlignment="1">
      <alignment horizontal="center" vertical="center" wrapText="1"/>
    </xf>
    <xf numFmtId="164" fontId="3" fillId="6" borderId="6" xfId="0" applyNumberFormat="1" applyFont="1" applyFill="1" applyBorder="1" applyAlignment="1">
      <alignment horizontal="right" vertical="center" wrapText="1"/>
    </xf>
    <xf numFmtId="164" fontId="20" fillId="15" borderId="6" xfId="0" applyNumberFormat="1" applyFont="1" applyFill="1" applyBorder="1" applyAlignment="1">
      <alignment horizontal="right" vertical="center" wrapText="1"/>
    </xf>
    <xf numFmtId="0" fontId="11" fillId="11" borderId="9" xfId="0" applyFont="1" applyFill="1" applyBorder="1" applyAlignment="1" applyProtection="1">
      <alignment horizontal="center" vertical="center" wrapText="1"/>
      <protection locked="0"/>
    </xf>
    <xf numFmtId="9" fontId="11" fillId="11" borderId="30" xfId="1" applyFont="1" applyFill="1" applyBorder="1" applyAlignment="1" applyProtection="1">
      <alignment horizontal="center" vertical="center" wrapText="1"/>
      <protection locked="0"/>
    </xf>
  </cellXfs>
  <cellStyles count="13">
    <cellStyle name="Comma 2" xfId="4" xr:uid="{00000000-0005-0000-0000-000004000000}"/>
    <cellStyle name="Comma 3" xfId="10" xr:uid="{00000000-0005-0000-0000-00000B000000}"/>
    <cellStyle name="Comma 9" xfId="7" xr:uid="{00000000-0005-0000-0000-000008000000}"/>
    <cellStyle name="EYtext" xfId="2" xr:uid="{00000000-0005-0000-0000-000002000000}"/>
    <cellStyle name="Link" xfId="11" builtinId="8"/>
    <cellStyle name="Normal 11" xfId="6" xr:uid="{00000000-0005-0000-0000-000007000000}"/>
    <cellStyle name="Normal 12" xfId="8" xr:uid="{00000000-0005-0000-0000-000009000000}"/>
    <cellStyle name="Normal 2" xfId="3" xr:uid="{00000000-0005-0000-0000-000003000000}"/>
    <cellStyle name="Normal 3" xfId="9" xr:uid="{00000000-0005-0000-0000-00000A000000}"/>
    <cellStyle name="Normal 6" xfId="12" xr:uid="{00000000-0005-0000-0000-00000D000000}"/>
    <cellStyle name="Prozent" xfId="1" builtinId="5"/>
    <cellStyle name="Standard" xfId="0" builtinId="0"/>
    <cellStyle name="Standard 3 2" xfId="5"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508000</xdr:colOff>
      <xdr:row>2</xdr:row>
      <xdr:rowOff>190500</xdr:rowOff>
    </xdr:from>
    <xdr:to>
      <xdr:col>12</xdr:col>
      <xdr:colOff>635000</xdr:colOff>
      <xdr:row>4</xdr:row>
      <xdr:rowOff>838200</xdr:rowOff>
    </xdr:to>
    <xdr:pic>
      <xdr:nvPicPr>
        <xdr:cNvPr id="7169" name="CommandButton1">
          <a:extLst>
            <a:ext uri="{FF2B5EF4-FFF2-40B4-BE49-F238E27FC236}">
              <a16:creationId xmlns:a16="http://schemas.microsoft.com/office/drawing/2014/main" id="{560D7032-4F96-55B1-FC95-B88AD630A39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914400"/>
          <a:ext cx="1295400" cy="1028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13</xdr:col>
      <xdr:colOff>139700</xdr:colOff>
      <xdr:row>1</xdr:row>
      <xdr:rowOff>406400</xdr:rowOff>
    </xdr:from>
    <xdr:to>
      <xdr:col>14</xdr:col>
      <xdr:colOff>635000</xdr:colOff>
      <xdr:row>3</xdr:row>
      <xdr:rowOff>139700</xdr:rowOff>
    </xdr:to>
    <xdr:pic>
      <xdr:nvPicPr>
        <xdr:cNvPr id="7170" name="CommandButton2">
          <a:extLst>
            <a:ext uri="{FF2B5EF4-FFF2-40B4-BE49-F238E27FC236}">
              <a16:creationId xmlns:a16="http://schemas.microsoft.com/office/drawing/2014/main" id="{5FF47725-515C-71FD-333D-34DF581CC30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785600" y="723900"/>
          <a:ext cx="11303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10" defaultColWidth="9.1640625" defaultRowHeight="11" outlineLevelCol="1"/>
  <cols>
    <col min="1" max="1" width="14.1640625" style="16" customWidth="1"/>
    <col min="2" max="8" width="20.6640625" style="16" customWidth="1"/>
    <col min="9" max="9" width="9.1640625" style="16" customWidth="1"/>
    <col min="10" max="10" width="9.1640625" style="16" customWidth="1" outlineLevel="1"/>
    <col min="11" max="11" width="11.33203125" style="16" customWidth="1"/>
    <col min="12" max="12" width="12" style="16" customWidth="1"/>
    <col min="13" max="26" width="35.6640625" style="16" customWidth="1"/>
    <col min="27" max="27" width="9.1640625" style="16" customWidth="1"/>
    <col min="28" max="16384" width="9.1640625" style="16"/>
  </cols>
  <sheetData>
    <row r="1" spans="1:100">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customHeight="1">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c r="J3" s="17">
        <f t="shared" ref="J3:J66" si="0">+J2+1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c r="J4" s="17">
        <f t="shared" si="0"/>
        <v>3</v>
      </c>
      <c r="N4" s="14" t="s">
        <v>41</v>
      </c>
      <c r="O4" s="14" t="s">
        <v>42</v>
      </c>
      <c r="P4" s="14" t="s">
        <v>43</v>
      </c>
      <c r="S4" s="16" t="s">
        <v>44</v>
      </c>
      <c r="T4" s="14" t="s">
        <v>35</v>
      </c>
      <c r="U4" s="14"/>
      <c r="W4" s="23" t="s">
        <v>45</v>
      </c>
      <c r="X4" s="14"/>
      <c r="Y4" s="31" t="s">
        <v>46</v>
      </c>
      <c r="Z4" s="16" t="s">
        <v>47</v>
      </c>
      <c r="BQ4" s="11" t="s">
        <v>48</v>
      </c>
      <c r="CU4" s="16" t="s">
        <v>49</v>
      </c>
      <c r="CV4" s="16" t="s">
        <v>30</v>
      </c>
    </row>
    <row r="5" spans="1:100">
      <c r="J5" s="17">
        <f t="shared" si="0"/>
        <v>4</v>
      </c>
      <c r="O5" s="14" t="s">
        <v>50</v>
      </c>
      <c r="P5" s="23" t="s">
        <v>51</v>
      </c>
      <c r="S5" s="16" t="s">
        <v>52</v>
      </c>
      <c r="T5" s="14" t="s">
        <v>53</v>
      </c>
      <c r="U5" s="14"/>
      <c r="X5" s="14"/>
      <c r="Y5" s="14" t="s">
        <v>54</v>
      </c>
      <c r="BQ5" s="11" t="s">
        <v>55</v>
      </c>
      <c r="CU5" s="16" t="s">
        <v>56</v>
      </c>
      <c r="CV5" s="16" t="s">
        <v>30</v>
      </c>
    </row>
    <row r="6" spans="1:100">
      <c r="J6" s="17">
        <f t="shared" si="0"/>
        <v>5</v>
      </c>
      <c r="O6" s="14" t="s">
        <v>57</v>
      </c>
      <c r="S6" s="16" t="s">
        <v>58</v>
      </c>
      <c r="T6" s="14" t="s">
        <v>59</v>
      </c>
      <c r="U6" s="14"/>
      <c r="X6" s="14"/>
      <c r="Y6" s="31" t="s">
        <v>60</v>
      </c>
      <c r="BQ6" s="11" t="s">
        <v>61</v>
      </c>
      <c r="CU6" s="16" t="s">
        <v>62</v>
      </c>
      <c r="CV6" s="16" t="s">
        <v>63</v>
      </c>
    </row>
    <row r="7" spans="1:100">
      <c r="J7" s="17">
        <f t="shared" si="0"/>
        <v>6</v>
      </c>
      <c r="T7" s="14" t="s">
        <v>64</v>
      </c>
      <c r="BQ7" s="11" t="s">
        <v>65</v>
      </c>
      <c r="CU7" s="16" t="s">
        <v>63</v>
      </c>
      <c r="CV7" s="16" t="s">
        <v>63</v>
      </c>
    </row>
    <row r="8" spans="1:100">
      <c r="J8" s="17">
        <f t="shared" si="0"/>
        <v>7</v>
      </c>
      <c r="T8" s="14" t="s">
        <v>66</v>
      </c>
      <c r="BQ8" s="11" t="s">
        <v>67</v>
      </c>
      <c r="CU8" s="16" t="s">
        <v>68</v>
      </c>
      <c r="CV8" s="16" t="s">
        <v>63</v>
      </c>
    </row>
    <row r="9" spans="1:100">
      <c r="J9" s="17">
        <f t="shared" si="0"/>
        <v>8</v>
      </c>
      <c r="T9" s="14" t="s">
        <v>69</v>
      </c>
      <c r="BQ9" s="11" t="s">
        <v>70</v>
      </c>
      <c r="CU9" s="16" t="s">
        <v>71</v>
      </c>
      <c r="CV9" s="16" t="s">
        <v>72</v>
      </c>
    </row>
    <row r="10" spans="1:100">
      <c r="J10" s="17">
        <f t="shared" si="0"/>
        <v>9</v>
      </c>
      <c r="T10" s="14" t="s">
        <v>73</v>
      </c>
      <c r="BQ10" s="11" t="s">
        <v>74</v>
      </c>
      <c r="CU10" s="16" t="s">
        <v>72</v>
      </c>
      <c r="CV10" s="16" t="s">
        <v>72</v>
      </c>
    </row>
    <row r="11" spans="1:100" ht="15" customHeight="1">
      <c r="A11" s="24" t="s">
        <v>75</v>
      </c>
      <c r="J11" s="17">
        <f t="shared" si="0"/>
        <v>10</v>
      </c>
      <c r="K11" s="18" t="s">
        <v>76</v>
      </c>
      <c r="BQ11" s="11" t="s">
        <v>77</v>
      </c>
      <c r="CU11" s="16" t="s">
        <v>78</v>
      </c>
      <c r="CV11" s="16" t="s">
        <v>72</v>
      </c>
    </row>
    <row r="12" spans="1:100" s="19" customFormat="1" ht="15" customHeight="1">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c r="A13" s="16" t="str">
        <f t="shared" ref="A13:A18" si="1">+L13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c r="A14" s="16" t="str">
        <f t="shared" si="1"/>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c r="A20" s="16" t="str">
        <f t="shared" ref="A20:A25" si="2">+L20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c r="A21" s="16" t="str">
        <f t="shared" si="2"/>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c r="A27" s="16" t="str">
        <f t="shared" ref="A27:A32" si="3">+L27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c r="A28" s="16" t="str">
        <f t="shared" si="3"/>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c r="A34" s="16" t="str">
        <f t="shared" ref="A34:A39" si="4">+L34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c r="A35" s="16" t="str">
        <f t="shared" si="4"/>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si="0"/>
        <v>39</v>
      </c>
      <c r="K40" s="19" t="s">
        <v>298</v>
      </c>
      <c r="V40" s="19" t="s">
        <v>299</v>
      </c>
    </row>
    <row r="41" spans="1:27" ht="15" customHeight="1">
      <c r="A41" s="16" t="str">
        <f t="shared" ref="A41:A46" si="5">+L41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0"/>
        <v>40</v>
      </c>
      <c r="L41" s="16" t="s">
        <v>30</v>
      </c>
      <c r="V41" s="16" t="s">
        <v>103</v>
      </c>
    </row>
    <row r="42" spans="1:27" ht="15" customHeight="1">
      <c r="A42" s="16" t="str">
        <f t="shared" si="5"/>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0"/>
        <v>41</v>
      </c>
      <c r="L42" s="16" t="s">
        <v>63</v>
      </c>
      <c r="V42" s="16" t="s">
        <v>300</v>
      </c>
    </row>
    <row r="43" spans="1:27" ht="15" customHeight="1">
      <c r="A43" s="16" t="str">
        <f t="shared" si="5"/>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0"/>
        <v>42</v>
      </c>
      <c r="L43" s="16" t="s">
        <v>72</v>
      </c>
      <c r="V43" s="16" t="s">
        <v>300</v>
      </c>
    </row>
    <row r="44" spans="1:27" ht="15" customHeight="1">
      <c r="A44" s="16" t="str">
        <f t="shared" si="5"/>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0"/>
        <v>43</v>
      </c>
      <c r="L44" s="16" t="s">
        <v>94</v>
      </c>
      <c r="V44" s="16" t="s">
        <v>301</v>
      </c>
    </row>
    <row r="45" spans="1:27" ht="15" customHeight="1">
      <c r="A45" s="16" t="str">
        <f t="shared" si="5"/>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0"/>
        <v>44</v>
      </c>
      <c r="L45" s="16" t="s">
        <v>136</v>
      </c>
      <c r="V45" s="16" t="s">
        <v>301</v>
      </c>
    </row>
    <row r="46" spans="1:27" ht="15" customHeight="1">
      <c r="A46" s="16" t="str">
        <f t="shared" si="5"/>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0"/>
        <v>45</v>
      </c>
      <c r="L46" s="16" t="s">
        <v>163</v>
      </c>
      <c r="V46" s="16" t="s">
        <v>103</v>
      </c>
    </row>
    <row r="47" spans="1:27">
      <c r="J47" s="17">
        <f t="shared" si="0"/>
        <v>46</v>
      </c>
    </row>
    <row r="48" spans="1:27">
      <c r="B48" s="19" t="s">
        <v>302</v>
      </c>
      <c r="C48" s="19" t="s">
        <v>303</v>
      </c>
      <c r="D48" s="19" t="s">
        <v>304</v>
      </c>
      <c r="E48" s="19" t="s">
        <v>305</v>
      </c>
      <c r="F48" s="19" t="s">
        <v>306</v>
      </c>
      <c r="G48" s="19" t="s">
        <v>307</v>
      </c>
      <c r="H48" s="19"/>
      <c r="J48" s="17">
        <f t="shared" si="0"/>
        <v>47</v>
      </c>
    </row>
    <row r="49" spans="1:26">
      <c r="B49" s="19" t="s">
        <v>308</v>
      </c>
      <c r="C49" s="19" t="s">
        <v>309</v>
      </c>
      <c r="D49" s="19" t="s">
        <v>310</v>
      </c>
      <c r="E49" s="19" t="s">
        <v>311</v>
      </c>
      <c r="F49" s="19" t="s">
        <v>312</v>
      </c>
      <c r="G49" s="19" t="s">
        <v>313</v>
      </c>
      <c r="H49" s="19"/>
      <c r="J49" s="17">
        <f t="shared" si="0"/>
        <v>48</v>
      </c>
    </row>
    <row r="50" spans="1:26">
      <c r="B50" s="19" t="s">
        <v>314</v>
      </c>
      <c r="C50" s="19" t="s">
        <v>315</v>
      </c>
      <c r="D50" s="19" t="s">
        <v>316</v>
      </c>
      <c r="E50" s="19" t="s">
        <v>317</v>
      </c>
      <c r="F50" s="19" t="s">
        <v>318</v>
      </c>
      <c r="G50" s="19" t="s">
        <v>319</v>
      </c>
      <c r="H50" s="19"/>
      <c r="J50" s="17">
        <f t="shared" si="0"/>
        <v>49</v>
      </c>
    </row>
    <row r="51" spans="1:26">
      <c r="B51" s="19" t="s">
        <v>320</v>
      </c>
      <c r="C51" s="19" t="s">
        <v>321</v>
      </c>
      <c r="D51" s="19" t="s">
        <v>322</v>
      </c>
      <c r="E51" s="19" t="s">
        <v>323</v>
      </c>
      <c r="F51" s="19" t="s">
        <v>324</v>
      </c>
      <c r="G51" s="19" t="s">
        <v>325</v>
      </c>
      <c r="H51" s="19"/>
      <c r="J51" s="17">
        <f t="shared" si="0"/>
        <v>50</v>
      </c>
    </row>
    <row r="52" spans="1:26">
      <c r="B52" s="19" t="s">
        <v>326</v>
      </c>
      <c r="C52" s="19" t="s">
        <v>327</v>
      </c>
      <c r="D52" s="19" t="s">
        <v>328</v>
      </c>
      <c r="E52" s="19" t="s">
        <v>329</v>
      </c>
      <c r="F52" s="19" t="s">
        <v>330</v>
      </c>
      <c r="G52" s="19" t="s">
        <v>331</v>
      </c>
      <c r="H52" s="19"/>
      <c r="J52" s="17">
        <f t="shared" si="0"/>
        <v>51</v>
      </c>
    </row>
    <row r="53" spans="1:26">
      <c r="J53" s="17">
        <f t="shared" si="0"/>
        <v>52</v>
      </c>
    </row>
    <row r="54" spans="1:26" ht="15" customHeight="1">
      <c r="J54" s="17">
        <f t="shared" si="0"/>
        <v>53</v>
      </c>
    </row>
    <row r="55" spans="1:26" ht="15" customHeight="1">
      <c r="A55" s="24" t="s">
        <v>332</v>
      </c>
      <c r="J55" s="17">
        <f t="shared" si="0"/>
        <v>54</v>
      </c>
      <c r="K55" s="18" t="s">
        <v>333</v>
      </c>
    </row>
    <row r="56" spans="1:26" s="19" customFormat="1" ht="15" customHeight="1">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0"/>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c r="A57" s="16" t="str">
        <f t="shared" ref="A57:A62" si="6">+L57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0"/>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c r="A58" s="16" t="str">
        <f t="shared" si="6"/>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0"/>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c r="A59" s="16" t="str">
        <f t="shared" si="6"/>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0"/>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c r="A60" s="16" t="str">
        <f t="shared" si="6"/>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0"/>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c r="A61" s="16" t="str">
        <f t="shared" si="6"/>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0"/>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c r="A62" s="16" t="str">
        <f t="shared" si="6"/>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0"/>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0"/>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c r="A64" s="16" t="str">
        <f t="shared" ref="A64:A69" si="7">+L64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0"/>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c r="A65" s="16" t="str">
        <f t="shared" si="7"/>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0"/>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c r="A66" s="16" t="str">
        <f t="shared" si="7"/>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0"/>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c r="A67" s="16" t="str">
        <f t="shared" si="7"/>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ref="J67:J130" si="8">+J66+1</f>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c r="A68" s="16" t="str">
        <f t="shared" si="7"/>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8"/>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c r="A69" s="16" t="str">
        <f t="shared" si="7"/>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8"/>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8"/>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c r="A71" s="16" t="str">
        <f t="shared" ref="A71:A76" si="9">+L71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8"/>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c r="A72" s="16" t="str">
        <f t="shared" si="9"/>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8"/>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8"/>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8"/>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8"/>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8"/>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8"/>
        <v>76</v>
      </c>
      <c r="K77" s="19" t="s">
        <v>275</v>
      </c>
      <c r="N77" s="19" t="s">
        <v>522</v>
      </c>
      <c r="P77" s="19" t="s">
        <v>523</v>
      </c>
      <c r="R77" s="19" t="s">
        <v>523</v>
      </c>
      <c r="S77" s="19" t="s">
        <v>524</v>
      </c>
      <c r="T77" s="19" t="s">
        <v>525</v>
      </c>
      <c r="W77" s="19" t="s">
        <v>526</v>
      </c>
      <c r="X77" s="19" t="s">
        <v>527</v>
      </c>
      <c r="Y77" s="19" t="s">
        <v>528</v>
      </c>
    </row>
    <row r="78" spans="1:26" ht="15" customHeight="1">
      <c r="A78" s="16" t="str">
        <f t="shared" ref="A78:A83" si="10">+L78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8"/>
        <v>77</v>
      </c>
      <c r="L78" s="16" t="s">
        <v>30</v>
      </c>
      <c r="N78" s="16" t="s">
        <v>412</v>
      </c>
      <c r="P78" s="16" t="s">
        <v>529</v>
      </c>
      <c r="R78" s="16" t="s">
        <v>530</v>
      </c>
      <c r="S78" s="16" t="s">
        <v>104</v>
      </c>
      <c r="T78" s="16" t="s">
        <v>531</v>
      </c>
      <c r="W78" s="16" t="s">
        <v>410</v>
      </c>
      <c r="X78" s="16" t="s">
        <v>532</v>
      </c>
      <c r="Y78" s="16" t="s">
        <v>533</v>
      </c>
    </row>
    <row r="79" spans="1:26" ht="15" customHeight="1">
      <c r="A79" s="16" t="str">
        <f t="shared" si="10"/>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8"/>
        <v>78</v>
      </c>
      <c r="L79" s="16" t="s">
        <v>63</v>
      </c>
      <c r="N79" s="16" t="s">
        <v>412</v>
      </c>
      <c r="P79" s="16" t="s">
        <v>529</v>
      </c>
      <c r="R79" s="16" t="s">
        <v>530</v>
      </c>
      <c r="S79" s="16" t="s">
        <v>118</v>
      </c>
      <c r="T79" s="16" t="s">
        <v>534</v>
      </c>
      <c r="W79" s="16" t="s">
        <v>418</v>
      </c>
      <c r="X79" s="16" t="s">
        <v>535</v>
      </c>
      <c r="Y79" s="16" t="s">
        <v>536</v>
      </c>
    </row>
    <row r="80" spans="1:26" ht="15" customHeight="1">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8"/>
        <v>79</v>
      </c>
      <c r="L80" s="16" t="s">
        <v>72</v>
      </c>
      <c r="N80" s="16" t="s">
        <v>537</v>
      </c>
      <c r="P80" s="16" t="s">
        <v>538</v>
      </c>
      <c r="R80" s="16" t="s">
        <v>539</v>
      </c>
      <c r="S80" s="16" t="s">
        <v>132</v>
      </c>
      <c r="T80" s="16" t="s">
        <v>540</v>
      </c>
      <c r="W80" s="16" t="s">
        <v>291</v>
      </c>
      <c r="X80" s="16" t="s">
        <v>541</v>
      </c>
      <c r="Y80" s="16" t="s">
        <v>542</v>
      </c>
    </row>
    <row r="81" spans="1:25" ht="15" customHeight="1">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8"/>
        <v>80</v>
      </c>
      <c r="L81" s="16" t="s">
        <v>94</v>
      </c>
      <c r="N81" s="16" t="s">
        <v>543</v>
      </c>
      <c r="P81" s="16" t="s">
        <v>544</v>
      </c>
      <c r="R81" s="16" t="s">
        <v>545</v>
      </c>
      <c r="S81" s="16" t="s">
        <v>146</v>
      </c>
      <c r="T81" s="16" t="s">
        <v>546</v>
      </c>
      <c r="W81" s="16" t="s">
        <v>146</v>
      </c>
      <c r="X81" s="16" t="s">
        <v>199</v>
      </c>
      <c r="Y81" s="16" t="s">
        <v>547</v>
      </c>
    </row>
    <row r="82" spans="1:25" ht="15" customHeight="1">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8"/>
        <v>81</v>
      </c>
      <c r="L82" s="16" t="s">
        <v>136</v>
      </c>
      <c r="N82" s="16" t="s">
        <v>548</v>
      </c>
      <c r="P82" s="16" t="s">
        <v>549</v>
      </c>
      <c r="R82" s="16" t="s">
        <v>550</v>
      </c>
      <c r="S82" s="16" t="s">
        <v>158</v>
      </c>
      <c r="T82" s="16" t="s">
        <v>551</v>
      </c>
      <c r="W82" s="16" t="s">
        <v>450</v>
      </c>
      <c r="X82" s="16" t="s">
        <v>170</v>
      </c>
      <c r="Y82" s="16" t="s">
        <v>552</v>
      </c>
    </row>
    <row r="83" spans="1:25" ht="15" customHeight="1">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8"/>
        <v>82</v>
      </c>
      <c r="L83" s="16" t="s">
        <v>163</v>
      </c>
      <c r="N83" s="16" t="s">
        <v>548</v>
      </c>
      <c r="P83" s="16" t="s">
        <v>549</v>
      </c>
      <c r="R83" s="16" t="s">
        <v>550</v>
      </c>
      <c r="S83" s="16" t="s">
        <v>171</v>
      </c>
      <c r="T83" s="16" t="s">
        <v>103</v>
      </c>
      <c r="W83" s="16" t="s">
        <v>553</v>
      </c>
      <c r="X83" s="16" t="s">
        <v>103</v>
      </c>
      <c r="Y83" s="16" t="s">
        <v>103</v>
      </c>
    </row>
    <row r="84" spans="1:25" s="19" customFormat="1" ht="15" customHeight="1">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8"/>
        <v>83</v>
      </c>
      <c r="K84" s="19" t="s">
        <v>298</v>
      </c>
      <c r="S84" s="19" t="s">
        <v>554</v>
      </c>
      <c r="T84" s="19" t="s">
        <v>555</v>
      </c>
      <c r="W84" s="19" t="s">
        <v>525</v>
      </c>
    </row>
    <row r="85" spans="1:25" ht="15" customHeight="1">
      <c r="A85" s="16" t="str">
        <f t="shared" ref="A85:A90" si="11">+L85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8"/>
        <v>84</v>
      </c>
      <c r="L85" s="16" t="s">
        <v>30</v>
      </c>
      <c r="S85" s="21" t="s">
        <v>556</v>
      </c>
      <c r="T85" s="16" t="s">
        <v>557</v>
      </c>
      <c r="W85" s="16" t="s">
        <v>531</v>
      </c>
    </row>
    <row r="86" spans="1:25" ht="15" customHeight="1">
      <c r="A86" s="16" t="str">
        <f t="shared" si="11"/>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8"/>
        <v>85</v>
      </c>
      <c r="L86" s="16" t="s">
        <v>63</v>
      </c>
      <c r="S86" s="21" t="s">
        <v>556</v>
      </c>
      <c r="T86" s="16" t="s">
        <v>558</v>
      </c>
      <c r="W86" s="16" t="s">
        <v>534</v>
      </c>
    </row>
    <row r="87" spans="1:25" ht="15" customHeight="1">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8"/>
        <v>86</v>
      </c>
      <c r="L87" s="16" t="s">
        <v>72</v>
      </c>
      <c r="S87" s="21" t="s">
        <v>559</v>
      </c>
      <c r="T87" s="16" t="s">
        <v>560</v>
      </c>
      <c r="W87" s="16" t="s">
        <v>540</v>
      </c>
    </row>
    <row r="88" spans="1:25" ht="15" customHeight="1">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8"/>
        <v>87</v>
      </c>
      <c r="L88" s="16" t="s">
        <v>94</v>
      </c>
      <c r="S88" s="21" t="s">
        <v>561</v>
      </c>
      <c r="T88" s="16" t="s">
        <v>562</v>
      </c>
      <c r="W88" s="16" t="s">
        <v>546</v>
      </c>
    </row>
    <row r="89" spans="1:25" ht="15" customHeight="1">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8"/>
        <v>88</v>
      </c>
      <c r="L89" s="16" t="s">
        <v>136</v>
      </c>
      <c r="S89" s="21" t="s">
        <v>233</v>
      </c>
      <c r="T89" s="16" t="s">
        <v>563</v>
      </c>
      <c r="W89" s="16" t="s">
        <v>551</v>
      </c>
    </row>
    <row r="90" spans="1:25" ht="15" customHeight="1">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8"/>
        <v>89</v>
      </c>
      <c r="L90" s="16" t="s">
        <v>163</v>
      </c>
      <c r="S90" s="21" t="s">
        <v>564</v>
      </c>
      <c r="T90" s="16" t="s">
        <v>103</v>
      </c>
      <c r="W90" s="16" t="s">
        <v>551</v>
      </c>
    </row>
    <row r="91" spans="1:25">
      <c r="J91" s="17">
        <f t="shared" si="8"/>
        <v>90</v>
      </c>
    </row>
    <row r="92" spans="1:25">
      <c r="B92" s="19" t="s">
        <v>565</v>
      </c>
      <c r="C92" s="19" t="s">
        <v>566</v>
      </c>
      <c r="D92" s="19" t="s">
        <v>567</v>
      </c>
      <c r="E92" s="19" t="s">
        <v>568</v>
      </c>
      <c r="F92" s="19" t="s">
        <v>569</v>
      </c>
      <c r="G92" s="19" t="s">
        <v>570</v>
      </c>
      <c r="H92" s="19"/>
      <c r="J92" s="17">
        <f t="shared" si="8"/>
        <v>91</v>
      </c>
    </row>
    <row r="93" spans="1:25">
      <c r="B93" s="19" t="s">
        <v>571</v>
      </c>
      <c r="C93" s="19" t="s">
        <v>572</v>
      </c>
      <c r="D93" s="19" t="s">
        <v>573</v>
      </c>
      <c r="E93" s="19" t="s">
        <v>574</v>
      </c>
      <c r="F93" s="19" t="s">
        <v>575</v>
      </c>
      <c r="G93" s="19" t="s">
        <v>576</v>
      </c>
      <c r="H93" s="19"/>
      <c r="J93" s="17">
        <f t="shared" si="8"/>
        <v>92</v>
      </c>
    </row>
    <row r="94" spans="1:25">
      <c r="B94" s="19" t="s">
        <v>577</v>
      </c>
      <c r="C94" s="19" t="s">
        <v>578</v>
      </c>
      <c r="D94" s="19" t="s">
        <v>579</v>
      </c>
      <c r="E94" s="19" t="s">
        <v>580</v>
      </c>
      <c r="F94" s="19" t="s">
        <v>581</v>
      </c>
      <c r="G94" s="19" t="s">
        <v>582</v>
      </c>
      <c r="H94" s="19"/>
      <c r="J94" s="17">
        <f t="shared" si="8"/>
        <v>93</v>
      </c>
    </row>
    <row r="95" spans="1:25">
      <c r="B95" s="19" t="s">
        <v>583</v>
      </c>
      <c r="C95" s="19" t="s">
        <v>584</v>
      </c>
      <c r="D95" s="19" t="s">
        <v>585</v>
      </c>
      <c r="E95" s="19" t="s">
        <v>586</v>
      </c>
      <c r="F95" s="19" t="s">
        <v>587</v>
      </c>
      <c r="G95" s="19" t="s">
        <v>588</v>
      </c>
      <c r="H95" s="19"/>
      <c r="J95" s="17">
        <f t="shared" si="8"/>
        <v>94</v>
      </c>
    </row>
    <row r="96" spans="1:25">
      <c r="B96" s="19" t="s">
        <v>589</v>
      </c>
      <c r="C96" s="19" t="s">
        <v>590</v>
      </c>
      <c r="D96" s="19" t="s">
        <v>591</v>
      </c>
      <c r="E96" s="19" t="s">
        <v>592</v>
      </c>
      <c r="F96" s="19" t="s">
        <v>593</v>
      </c>
      <c r="G96" s="19" t="s">
        <v>594</v>
      </c>
      <c r="H96" s="19"/>
      <c r="J96" s="17">
        <f t="shared" si="8"/>
        <v>95</v>
      </c>
    </row>
    <row r="97" spans="1:26">
      <c r="J97" s="17">
        <f t="shared" si="8"/>
        <v>96</v>
      </c>
    </row>
    <row r="98" spans="1:26" ht="15" customHeight="1">
      <c r="J98" s="17">
        <f t="shared" si="8"/>
        <v>97</v>
      </c>
    </row>
    <row r="99" spans="1:26" ht="15" customHeight="1">
      <c r="A99" s="24" t="s">
        <v>595</v>
      </c>
      <c r="J99" s="17">
        <f t="shared" si="8"/>
        <v>98</v>
      </c>
      <c r="K99" s="18" t="str">
        <f>+A99</f>
        <v>[Operating profitability]</v>
      </c>
    </row>
    <row r="100" spans="1:26" s="19" customFormat="1" ht="15" customHeight="1">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8"/>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c r="A101" s="16" t="str">
        <f t="shared" ref="A101:A106" si="12">+L101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8"/>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c r="A102" s="16" t="str">
        <f t="shared" si="12"/>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8"/>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c r="A103" s="16" t="str">
        <f t="shared" si="12"/>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8"/>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c r="A104" s="16" t="str">
        <f t="shared" si="12"/>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8"/>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c r="A105" s="16" t="str">
        <f t="shared" si="12"/>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8"/>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c r="A106" s="16" t="str">
        <f t="shared" si="12"/>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8"/>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8"/>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c r="A108" s="16" t="str">
        <f t="shared" ref="A108:A113" si="13">+L108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8"/>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c r="A109" s="16" t="str">
        <f t="shared" si="13"/>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8"/>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c r="A110" s="16" t="str">
        <f t="shared" si="13"/>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8"/>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c r="A111" s="16" t="str">
        <f t="shared" si="13"/>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8"/>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c r="A112" s="16" t="str">
        <f t="shared" si="13"/>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8"/>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c r="A113" s="16" t="str">
        <f t="shared" si="13"/>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8"/>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8"/>
        <v>113</v>
      </c>
      <c r="K114" s="19" t="s">
        <v>239</v>
      </c>
      <c r="O114" s="19" t="s">
        <v>599</v>
      </c>
      <c r="R114" s="19" t="s">
        <v>599</v>
      </c>
      <c r="S114" s="19" t="s">
        <v>684</v>
      </c>
      <c r="T114" s="19" t="s">
        <v>685</v>
      </c>
      <c r="V114" s="19" t="s">
        <v>686</v>
      </c>
      <c r="W114" s="19" t="s">
        <v>687</v>
      </c>
    </row>
    <row r="115" spans="1:26" ht="15" customHeight="1">
      <c r="A115" s="16" t="str">
        <f t="shared" ref="A115:A120" si="14">+L115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8"/>
        <v>114</v>
      </c>
      <c r="L115" s="16" t="s">
        <v>30</v>
      </c>
      <c r="O115" s="16" t="s">
        <v>655</v>
      </c>
      <c r="R115" s="16" t="s">
        <v>418</v>
      </c>
      <c r="S115" s="21" t="s">
        <v>564</v>
      </c>
      <c r="T115" s="16" t="s">
        <v>688</v>
      </c>
      <c r="V115" s="16" t="s">
        <v>103</v>
      </c>
      <c r="W115" s="16" t="s">
        <v>657</v>
      </c>
    </row>
    <row r="116" spans="1:26" ht="15" customHeight="1">
      <c r="A116" s="16" t="str">
        <f t="shared" si="14"/>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8"/>
        <v>115</v>
      </c>
      <c r="L116" s="16" t="s">
        <v>63</v>
      </c>
      <c r="O116" s="16" t="s">
        <v>655</v>
      </c>
      <c r="R116" s="16" t="s">
        <v>418</v>
      </c>
      <c r="S116" s="21" t="s">
        <v>689</v>
      </c>
      <c r="T116" s="16" t="s">
        <v>688</v>
      </c>
      <c r="V116" s="16" t="s">
        <v>690</v>
      </c>
      <c r="W116" s="16" t="s">
        <v>482</v>
      </c>
    </row>
    <row r="117" spans="1:26" ht="15" customHeight="1">
      <c r="A117" s="16" t="str">
        <f t="shared" si="14"/>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8"/>
        <v>116</v>
      </c>
      <c r="L117" s="16" t="s">
        <v>72</v>
      </c>
      <c r="O117" s="16" t="s">
        <v>625</v>
      </c>
      <c r="R117" s="16" t="s">
        <v>625</v>
      </c>
      <c r="S117" s="21" t="s">
        <v>691</v>
      </c>
      <c r="T117" s="16" t="s">
        <v>692</v>
      </c>
      <c r="V117" s="16" t="s">
        <v>693</v>
      </c>
      <c r="W117" s="16" t="s">
        <v>694</v>
      </c>
    </row>
    <row r="118" spans="1:26" ht="15" customHeight="1">
      <c r="A118" s="16" t="str">
        <f t="shared" si="14"/>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8"/>
        <v>117</v>
      </c>
      <c r="L118" s="16" t="s">
        <v>94</v>
      </c>
      <c r="O118" s="16" t="s">
        <v>625</v>
      </c>
      <c r="R118" s="16" t="s">
        <v>625</v>
      </c>
      <c r="S118" s="21" t="s">
        <v>695</v>
      </c>
      <c r="T118" s="16" t="s">
        <v>696</v>
      </c>
      <c r="V118" s="16" t="s">
        <v>697</v>
      </c>
      <c r="W118" s="16" t="s">
        <v>697</v>
      </c>
    </row>
    <row r="119" spans="1:26" ht="15" customHeight="1">
      <c r="A119" s="16" t="str">
        <f t="shared" si="14"/>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8"/>
        <v>118</v>
      </c>
      <c r="L119" s="16" t="s">
        <v>136</v>
      </c>
      <c r="O119" s="16" t="s">
        <v>450</v>
      </c>
      <c r="R119" s="16" t="s">
        <v>450</v>
      </c>
      <c r="S119" s="21" t="s">
        <v>698</v>
      </c>
      <c r="T119" s="16" t="s">
        <v>699</v>
      </c>
      <c r="V119" s="16" t="s">
        <v>700</v>
      </c>
      <c r="W119" s="16" t="s">
        <v>700</v>
      </c>
    </row>
    <row r="120" spans="1:26" ht="15" customHeight="1">
      <c r="A120" s="16" t="str">
        <f t="shared" si="14"/>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8"/>
        <v>119</v>
      </c>
      <c r="L120" s="16" t="s">
        <v>163</v>
      </c>
      <c r="O120" s="16" t="s">
        <v>450</v>
      </c>
      <c r="R120" s="16" t="s">
        <v>450</v>
      </c>
      <c r="S120" s="21" t="s">
        <v>681</v>
      </c>
      <c r="T120" s="16" t="s">
        <v>699</v>
      </c>
      <c r="V120" s="16" t="s">
        <v>701</v>
      </c>
      <c r="W120" s="16" t="s">
        <v>702</v>
      </c>
    </row>
    <row r="121" spans="1:26" s="19" customFormat="1" ht="15" customHeight="1">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8"/>
        <v>120</v>
      </c>
      <c r="K121" s="19" t="s">
        <v>275</v>
      </c>
      <c r="S121" s="19" t="s">
        <v>649</v>
      </c>
      <c r="T121" s="19" t="s">
        <v>687</v>
      </c>
      <c r="V121" s="19" t="s">
        <v>703</v>
      </c>
    </row>
    <row r="122" spans="1:26" ht="15" customHeight="1">
      <c r="A122" s="16" t="str">
        <f t="shared" ref="A122:A127" si="15">+L122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8"/>
        <v>121</v>
      </c>
      <c r="L122" s="16" t="s">
        <v>30</v>
      </c>
      <c r="S122" s="16" t="s">
        <v>411</v>
      </c>
      <c r="T122" s="16" t="s">
        <v>192</v>
      </c>
      <c r="V122" s="16" t="s">
        <v>103</v>
      </c>
    </row>
    <row r="123" spans="1:26" ht="15" customHeight="1">
      <c r="A123" s="16" t="str">
        <f t="shared" si="15"/>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8"/>
        <v>122</v>
      </c>
      <c r="L123" s="16" t="s">
        <v>63</v>
      </c>
      <c r="S123" s="16" t="s">
        <v>260</v>
      </c>
      <c r="T123" s="16" t="s">
        <v>621</v>
      </c>
      <c r="V123" s="27" t="s">
        <v>704</v>
      </c>
    </row>
    <row r="124" spans="1:26" ht="15" customHeight="1">
      <c r="A124" s="16" t="str">
        <f t="shared" si="15"/>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8"/>
        <v>123</v>
      </c>
      <c r="L124" s="16" t="s">
        <v>72</v>
      </c>
      <c r="S124" s="16" t="s">
        <v>266</v>
      </c>
      <c r="T124" s="16" t="s">
        <v>482</v>
      </c>
      <c r="V124" s="27" t="s">
        <v>704</v>
      </c>
    </row>
    <row r="125" spans="1:26" ht="15" customHeight="1">
      <c r="A125" s="16" t="str">
        <f t="shared" si="15"/>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8"/>
        <v>124</v>
      </c>
      <c r="L125" s="16" t="s">
        <v>94</v>
      </c>
      <c r="S125" s="16" t="s">
        <v>439</v>
      </c>
      <c r="T125" s="16" t="s">
        <v>490</v>
      </c>
      <c r="V125" s="28" t="s">
        <v>705</v>
      </c>
    </row>
    <row r="126" spans="1:26" ht="15" customHeight="1">
      <c r="A126" s="16" t="str">
        <f t="shared" si="15"/>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8"/>
        <v>125</v>
      </c>
      <c r="L126" s="16" t="s">
        <v>136</v>
      </c>
      <c r="S126" s="16" t="s">
        <v>675</v>
      </c>
      <c r="T126" s="16" t="s">
        <v>503</v>
      </c>
      <c r="V126" s="28" t="s">
        <v>705</v>
      </c>
    </row>
    <row r="127" spans="1:26" ht="15" customHeight="1">
      <c r="A127" s="16" t="str">
        <f t="shared" si="15"/>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8"/>
        <v>126</v>
      </c>
      <c r="L127" s="16" t="s">
        <v>163</v>
      </c>
      <c r="S127" s="16" t="s">
        <v>648</v>
      </c>
      <c r="T127" s="16" t="s">
        <v>702</v>
      </c>
      <c r="V127" s="16" t="s">
        <v>706</v>
      </c>
    </row>
    <row r="128" spans="1:26" s="19" customFormat="1" ht="15" customHeight="1">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8"/>
        <v>127</v>
      </c>
      <c r="K128" s="19" t="s">
        <v>298</v>
      </c>
      <c r="T128" s="19" t="s">
        <v>707</v>
      </c>
    </row>
    <row r="129" spans="1:25" ht="15" customHeight="1">
      <c r="A129" s="16" t="str">
        <f t="shared" ref="A129:A134" si="16">+L129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8"/>
        <v>128</v>
      </c>
      <c r="L129" s="16" t="s">
        <v>30</v>
      </c>
      <c r="S129" s="21"/>
      <c r="T129" s="27" t="s">
        <v>708</v>
      </c>
    </row>
    <row r="130" spans="1:25" ht="15" customHeight="1">
      <c r="A130" s="16" t="str">
        <f t="shared" si="16"/>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8"/>
        <v>129</v>
      </c>
      <c r="L130" s="16" t="s">
        <v>63</v>
      </c>
      <c r="S130" s="21"/>
      <c r="T130" s="27" t="s">
        <v>708</v>
      </c>
    </row>
    <row r="131" spans="1:25" ht="15" customHeight="1">
      <c r="A131" s="16" t="str">
        <f t="shared" si="16"/>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ref="J131:J194" si="17">+J130+1</f>
        <v>130</v>
      </c>
      <c r="L131" s="16" t="s">
        <v>72</v>
      </c>
      <c r="S131" s="21"/>
      <c r="T131" s="27" t="s">
        <v>708</v>
      </c>
    </row>
    <row r="132" spans="1:25" ht="15" customHeight="1">
      <c r="A132" s="16" t="str">
        <f t="shared" si="16"/>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7"/>
        <v>131</v>
      </c>
      <c r="L132" s="16" t="s">
        <v>94</v>
      </c>
      <c r="S132" s="21"/>
      <c r="T132" s="27" t="s">
        <v>709</v>
      </c>
    </row>
    <row r="133" spans="1:25" ht="15" customHeight="1">
      <c r="A133" s="16" t="str">
        <f t="shared" si="16"/>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7"/>
        <v>132</v>
      </c>
      <c r="L133" s="16" t="s">
        <v>136</v>
      </c>
      <c r="S133" s="21"/>
      <c r="T133" s="27" t="s">
        <v>709</v>
      </c>
    </row>
    <row r="134" spans="1:25" ht="15" customHeight="1">
      <c r="A134" s="16" t="str">
        <f t="shared" si="16"/>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7"/>
        <v>133</v>
      </c>
      <c r="L134" s="16" t="s">
        <v>163</v>
      </c>
      <c r="S134" s="21"/>
      <c r="T134" s="27" t="s">
        <v>709</v>
      </c>
    </row>
    <row r="135" spans="1:25">
      <c r="J135" s="17">
        <f t="shared" si="17"/>
        <v>134</v>
      </c>
    </row>
    <row r="136" spans="1:25">
      <c r="B136" s="19" t="s">
        <v>710</v>
      </c>
      <c r="C136" s="19" t="s">
        <v>711</v>
      </c>
      <c r="D136" s="19" t="s">
        <v>712</v>
      </c>
      <c r="E136" s="19" t="s">
        <v>713</v>
      </c>
      <c r="F136" s="19" t="s">
        <v>714</v>
      </c>
      <c r="G136" s="19" t="s">
        <v>715</v>
      </c>
      <c r="H136" s="19"/>
      <c r="J136" s="17">
        <f t="shared" si="17"/>
        <v>135</v>
      </c>
    </row>
    <row r="137" spans="1:25">
      <c r="B137" s="19" t="s">
        <v>716</v>
      </c>
      <c r="C137" s="19" t="s">
        <v>717</v>
      </c>
      <c r="D137" s="19" t="s">
        <v>718</v>
      </c>
      <c r="E137" s="19" t="s">
        <v>719</v>
      </c>
      <c r="F137" s="19" t="s">
        <v>720</v>
      </c>
      <c r="G137" s="19" t="s">
        <v>721</v>
      </c>
      <c r="H137" s="19"/>
      <c r="J137" s="17">
        <f t="shared" si="17"/>
        <v>136</v>
      </c>
    </row>
    <row r="138" spans="1:25">
      <c r="B138" s="19" t="s">
        <v>722</v>
      </c>
      <c r="C138" s="19" t="s">
        <v>723</v>
      </c>
      <c r="D138" s="19" t="s">
        <v>724</v>
      </c>
      <c r="E138" s="19" t="s">
        <v>725</v>
      </c>
      <c r="F138" s="19" t="s">
        <v>726</v>
      </c>
      <c r="G138" s="19" t="s">
        <v>727</v>
      </c>
      <c r="H138" s="19"/>
      <c r="J138" s="17">
        <f t="shared" si="17"/>
        <v>137</v>
      </c>
    </row>
    <row r="139" spans="1:25">
      <c r="B139" s="19" t="s">
        <v>728</v>
      </c>
      <c r="C139" s="19" t="s">
        <v>729</v>
      </c>
      <c r="D139" s="19" t="s">
        <v>730</v>
      </c>
      <c r="E139" s="19" t="s">
        <v>731</v>
      </c>
      <c r="F139" s="19" t="s">
        <v>732</v>
      </c>
      <c r="G139" s="19" t="s">
        <v>733</v>
      </c>
      <c r="H139" s="19"/>
      <c r="J139" s="17">
        <f t="shared" si="17"/>
        <v>138</v>
      </c>
    </row>
    <row r="140" spans="1:25">
      <c r="B140" s="19" t="s">
        <v>734</v>
      </c>
      <c r="C140" s="19" t="s">
        <v>735</v>
      </c>
      <c r="D140" s="19" t="s">
        <v>736</v>
      </c>
      <c r="E140" s="19" t="s">
        <v>737</v>
      </c>
      <c r="F140" s="19" t="s">
        <v>738</v>
      </c>
      <c r="G140" s="19" t="s">
        <v>739</v>
      </c>
      <c r="H140" s="19"/>
      <c r="J140" s="17">
        <f t="shared" si="17"/>
        <v>139</v>
      </c>
    </row>
    <row r="141" spans="1:25">
      <c r="J141" s="16">
        <f t="shared" si="17"/>
        <v>140</v>
      </c>
    </row>
    <row r="142" spans="1:25" s="18" customFormat="1">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7"/>
        <v>141</v>
      </c>
      <c r="M142" s="16"/>
      <c r="P142" s="18" t="s">
        <v>741</v>
      </c>
      <c r="Q142" s="18" t="s">
        <v>742</v>
      </c>
      <c r="R142" s="18" t="s">
        <v>743</v>
      </c>
      <c r="S142" s="18" t="s">
        <v>744</v>
      </c>
      <c r="U142" s="18" t="s">
        <v>745</v>
      </c>
      <c r="V142" s="18" t="s">
        <v>746</v>
      </c>
      <c r="Y142" s="18" t="s">
        <v>747</v>
      </c>
    </row>
    <row r="143" spans="1:25" s="19" customFormat="1">
      <c r="A143" s="22" t="str">
        <f t="shared" ref="A143:A177" si="18">+A100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7"/>
        <v>142</v>
      </c>
      <c r="P143" s="19" t="s">
        <v>748</v>
      </c>
      <c r="Q143" s="19" t="s">
        <v>749</v>
      </c>
      <c r="R143" s="19" t="s">
        <v>750</v>
      </c>
      <c r="S143" s="19" t="s">
        <v>751</v>
      </c>
      <c r="U143" s="19" t="s">
        <v>752</v>
      </c>
      <c r="V143" s="19" t="s">
        <v>753</v>
      </c>
      <c r="Y143" s="19" t="s">
        <v>754</v>
      </c>
    </row>
    <row r="144" spans="1:25">
      <c r="A144" s="16" t="str">
        <f t="shared" si="18"/>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7"/>
        <v>143</v>
      </c>
      <c r="P144" s="16" t="s">
        <v>755</v>
      </c>
      <c r="Q144" s="16" t="s">
        <v>756</v>
      </c>
      <c r="R144" s="16" t="s">
        <v>757</v>
      </c>
      <c r="S144" s="16" t="s">
        <v>758</v>
      </c>
      <c r="U144" s="16" t="s">
        <v>759</v>
      </c>
      <c r="V144" s="16" t="s">
        <v>103</v>
      </c>
      <c r="Y144" s="16" t="s">
        <v>192</v>
      </c>
    </row>
    <row r="145" spans="1: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7"/>
        <v>144</v>
      </c>
      <c r="P145" s="16" t="s">
        <v>760</v>
      </c>
      <c r="Q145" s="16" t="s">
        <v>761</v>
      </c>
      <c r="R145" s="16" t="s">
        <v>757</v>
      </c>
      <c r="S145" s="16" t="s">
        <v>758</v>
      </c>
      <c r="U145" s="16" t="s">
        <v>759</v>
      </c>
      <c r="V145" s="16" t="s">
        <v>762</v>
      </c>
      <c r="Y145" s="16" t="s">
        <v>621</v>
      </c>
    </row>
    <row r="146" spans="1: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7"/>
        <v>145</v>
      </c>
      <c r="P146" s="16" t="s">
        <v>763</v>
      </c>
      <c r="Q146" s="16" t="s">
        <v>764</v>
      </c>
      <c r="R146" s="16" t="s">
        <v>765</v>
      </c>
      <c r="S146" s="16" t="s">
        <v>766</v>
      </c>
      <c r="U146" s="16" t="s">
        <v>266</v>
      </c>
      <c r="V146" s="16" t="s">
        <v>767</v>
      </c>
      <c r="Y146" s="16" t="s">
        <v>482</v>
      </c>
    </row>
    <row r="147" spans="1: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7"/>
        <v>146</v>
      </c>
      <c r="P147" s="16" t="s">
        <v>768</v>
      </c>
      <c r="Q147" s="16" t="s">
        <v>769</v>
      </c>
      <c r="R147" s="16" t="s">
        <v>770</v>
      </c>
      <c r="S147" s="16" t="s">
        <v>771</v>
      </c>
      <c r="U147" s="16" t="s">
        <v>547</v>
      </c>
      <c r="V147" s="16" t="s">
        <v>772</v>
      </c>
      <c r="Y147" s="16" t="s">
        <v>224</v>
      </c>
    </row>
    <row r="148" spans="1: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7"/>
        <v>147</v>
      </c>
      <c r="P148" s="16" t="s">
        <v>773</v>
      </c>
      <c r="Q148" s="16" t="s">
        <v>774</v>
      </c>
      <c r="R148" s="16" t="s">
        <v>775</v>
      </c>
      <c r="S148" s="16" t="s">
        <v>776</v>
      </c>
      <c r="U148" s="16" t="s">
        <v>552</v>
      </c>
      <c r="V148" s="16" t="s">
        <v>777</v>
      </c>
      <c r="Y148" s="16" t="s">
        <v>224</v>
      </c>
    </row>
    <row r="149" spans="1: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7"/>
        <v>148</v>
      </c>
      <c r="P149" s="16" t="s">
        <v>778</v>
      </c>
      <c r="Q149" s="16" t="s">
        <v>779</v>
      </c>
      <c r="R149" s="16" t="s">
        <v>780</v>
      </c>
      <c r="S149" s="16" t="s">
        <v>781</v>
      </c>
      <c r="U149" s="16" t="s">
        <v>103</v>
      </c>
      <c r="V149" s="16" t="s">
        <v>782</v>
      </c>
      <c r="Y149" s="16" t="s">
        <v>103</v>
      </c>
    </row>
    <row r="150" spans="1:25" s="19" customFormat="1">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7"/>
        <v>149</v>
      </c>
      <c r="P150" s="19" t="s">
        <v>783</v>
      </c>
      <c r="R150" s="19" t="s">
        <v>784</v>
      </c>
      <c r="S150" s="19" t="s">
        <v>785</v>
      </c>
      <c r="U150" s="19" t="s">
        <v>786</v>
      </c>
      <c r="V150" s="19" t="s">
        <v>787</v>
      </c>
      <c r="Y150" s="19" t="s">
        <v>788</v>
      </c>
    </row>
    <row r="151" spans="1: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7"/>
        <v>150</v>
      </c>
      <c r="P151" s="16" t="s">
        <v>789</v>
      </c>
      <c r="R151" s="16" t="s">
        <v>790</v>
      </c>
      <c r="S151" s="16" t="s">
        <v>231</v>
      </c>
      <c r="U151" s="16" t="s">
        <v>791</v>
      </c>
      <c r="V151" s="16" t="s">
        <v>103</v>
      </c>
      <c r="Y151" s="16" t="s">
        <v>792</v>
      </c>
    </row>
    <row r="152" spans="1: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7"/>
        <v>151</v>
      </c>
      <c r="P152" s="16" t="s">
        <v>793</v>
      </c>
      <c r="R152" s="16" t="s">
        <v>790</v>
      </c>
      <c r="S152" s="16" t="s">
        <v>794</v>
      </c>
      <c r="U152" s="16" t="s">
        <v>791</v>
      </c>
      <c r="V152" s="16" t="s">
        <v>795</v>
      </c>
      <c r="Y152" s="16" t="s">
        <v>796</v>
      </c>
    </row>
    <row r="153" spans="1: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7"/>
        <v>152</v>
      </c>
      <c r="P153" s="16" t="s">
        <v>797</v>
      </c>
      <c r="R153" s="16" t="s">
        <v>798</v>
      </c>
      <c r="S153" s="16" t="s">
        <v>221</v>
      </c>
      <c r="U153" s="16" t="s">
        <v>799</v>
      </c>
      <c r="V153" s="16" t="s">
        <v>800</v>
      </c>
      <c r="Y153" s="16" t="s">
        <v>801</v>
      </c>
    </row>
    <row r="154" spans="1: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7"/>
        <v>153</v>
      </c>
      <c r="P154" s="16" t="s">
        <v>802</v>
      </c>
      <c r="R154" s="16" t="s">
        <v>803</v>
      </c>
      <c r="S154" s="16" t="s">
        <v>804</v>
      </c>
      <c r="U154" s="16" t="s">
        <v>805</v>
      </c>
      <c r="V154" s="16" t="s">
        <v>806</v>
      </c>
      <c r="Y154" s="16" t="s">
        <v>807</v>
      </c>
    </row>
    <row r="155" spans="1: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7"/>
        <v>154</v>
      </c>
      <c r="P155" s="16" t="s">
        <v>808</v>
      </c>
      <c r="R155" s="16" t="s">
        <v>809</v>
      </c>
      <c r="S155" s="16" t="s">
        <v>674</v>
      </c>
      <c r="U155" s="16" t="s">
        <v>810</v>
      </c>
      <c r="V155" s="16" t="s">
        <v>811</v>
      </c>
      <c r="Y155" s="16" t="s">
        <v>812</v>
      </c>
    </row>
    <row r="156" spans="1: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7"/>
        <v>155</v>
      </c>
      <c r="P156" s="16" t="s">
        <v>808</v>
      </c>
      <c r="R156" s="16" t="s">
        <v>809</v>
      </c>
      <c r="S156" s="16" t="s">
        <v>813</v>
      </c>
      <c r="U156" s="16" t="s">
        <v>103</v>
      </c>
      <c r="V156" s="16" t="s">
        <v>814</v>
      </c>
      <c r="Y156" s="16" t="s">
        <v>103</v>
      </c>
    </row>
    <row r="157" spans="1:25" s="19" customFormat="1">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7"/>
        <v>156</v>
      </c>
      <c r="P157" s="19" t="s">
        <v>815</v>
      </c>
      <c r="R157" s="19" t="s">
        <v>816</v>
      </c>
      <c r="S157" s="19" t="s">
        <v>817</v>
      </c>
      <c r="U157" s="19" t="s">
        <v>818</v>
      </c>
      <c r="V157" s="19" t="s">
        <v>819</v>
      </c>
      <c r="Y157" s="19" t="s">
        <v>820</v>
      </c>
    </row>
    <row r="158" spans="1:25" ht="10.5" customHeight="1">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7"/>
        <v>157</v>
      </c>
      <c r="P158" s="16" t="s">
        <v>821</v>
      </c>
      <c r="R158" s="16" t="s">
        <v>822</v>
      </c>
      <c r="S158" s="16" t="s">
        <v>823</v>
      </c>
      <c r="U158" s="16" t="s">
        <v>224</v>
      </c>
      <c r="V158" s="16" t="s">
        <v>103</v>
      </c>
      <c r="Y158" s="16" t="s">
        <v>647</v>
      </c>
    </row>
    <row r="159" spans="1:25" ht="10.5" customHeight="1">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7"/>
        <v>158</v>
      </c>
      <c r="P159" s="16" t="s">
        <v>821</v>
      </c>
      <c r="R159" s="16" t="s">
        <v>822</v>
      </c>
      <c r="S159" s="16" t="s">
        <v>823</v>
      </c>
      <c r="U159" s="16" t="s">
        <v>202</v>
      </c>
      <c r="V159" s="26" t="s">
        <v>824</v>
      </c>
      <c r="Y159" s="16" t="s">
        <v>490</v>
      </c>
    </row>
    <row r="160" spans="1:25" ht="10.5" customHeight="1">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7"/>
        <v>159</v>
      </c>
      <c r="P160" s="16" t="s">
        <v>825</v>
      </c>
      <c r="R160" s="16" t="s">
        <v>826</v>
      </c>
      <c r="S160" s="16" t="s">
        <v>827</v>
      </c>
      <c r="U160" s="16" t="s">
        <v>419</v>
      </c>
      <c r="V160" s="26" t="s">
        <v>824</v>
      </c>
      <c r="Y160" s="16" t="s">
        <v>482</v>
      </c>
    </row>
    <row r="161" spans="1: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7"/>
        <v>160</v>
      </c>
      <c r="P161" s="16" t="s">
        <v>828</v>
      </c>
      <c r="R161" s="16" t="s">
        <v>829</v>
      </c>
      <c r="S161" s="16" t="s">
        <v>830</v>
      </c>
      <c r="U161" s="16" t="s">
        <v>429</v>
      </c>
      <c r="V161" s="16" t="s">
        <v>831</v>
      </c>
      <c r="Y161" s="16" t="s">
        <v>621</v>
      </c>
    </row>
    <row r="162" spans="1: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si="17"/>
        <v>161</v>
      </c>
      <c r="P162" s="16" t="s">
        <v>832</v>
      </c>
      <c r="R162" s="16" t="s">
        <v>833</v>
      </c>
      <c r="S162" s="16" t="s">
        <v>834</v>
      </c>
      <c r="U162" s="16" t="s">
        <v>835</v>
      </c>
      <c r="V162" s="16" t="s">
        <v>831</v>
      </c>
      <c r="Y162" s="16" t="s">
        <v>192</v>
      </c>
    </row>
    <row r="163" spans="1: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7"/>
        <v>162</v>
      </c>
      <c r="P163" s="16" t="s">
        <v>836</v>
      </c>
      <c r="R163" s="16" t="s">
        <v>837</v>
      </c>
      <c r="S163" s="16" t="s">
        <v>838</v>
      </c>
      <c r="U163" s="16" t="s">
        <v>103</v>
      </c>
      <c r="V163" s="16" t="s">
        <v>839</v>
      </c>
      <c r="Y163" s="16" t="s">
        <v>103</v>
      </c>
    </row>
    <row r="164" spans="1:25" s="19" customFormat="1">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7"/>
        <v>163</v>
      </c>
      <c r="S164" s="19" t="s">
        <v>840</v>
      </c>
      <c r="U164" s="19" t="s">
        <v>841</v>
      </c>
      <c r="V164" s="19" t="s">
        <v>842</v>
      </c>
      <c r="Y164" s="19" t="s">
        <v>843</v>
      </c>
    </row>
    <row r="165" spans="1:25" ht="10.5" customHeight="1">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7"/>
        <v>164</v>
      </c>
      <c r="S165" s="16" t="s">
        <v>844</v>
      </c>
      <c r="U165" s="16" t="s">
        <v>810</v>
      </c>
      <c r="V165" s="16" t="s">
        <v>103</v>
      </c>
      <c r="Y165" s="16" t="s">
        <v>845</v>
      </c>
    </row>
    <row r="166" spans="1:25" ht="10.5" customHeight="1">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7"/>
        <v>165</v>
      </c>
      <c r="S166" s="16" t="s">
        <v>846</v>
      </c>
      <c r="U166" s="16" t="s">
        <v>429</v>
      </c>
      <c r="V166" s="26" t="s">
        <v>847</v>
      </c>
      <c r="Y166" s="16" t="s">
        <v>845</v>
      </c>
    </row>
    <row r="167" spans="1:25" ht="10.5" customHeight="1">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7"/>
        <v>166</v>
      </c>
      <c r="S167" s="16" t="s">
        <v>848</v>
      </c>
      <c r="U167" s="16" t="s">
        <v>849</v>
      </c>
      <c r="V167" s="26" t="s">
        <v>850</v>
      </c>
      <c r="Y167" s="16" t="s">
        <v>851</v>
      </c>
    </row>
    <row r="168" spans="1:25" ht="10.5" customHeight="1">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7"/>
        <v>167</v>
      </c>
      <c r="S168" s="16" t="s">
        <v>852</v>
      </c>
      <c r="U168" s="16" t="s">
        <v>853</v>
      </c>
      <c r="V168" s="26" t="s">
        <v>854</v>
      </c>
      <c r="Y168" s="16" t="s">
        <v>853</v>
      </c>
    </row>
    <row r="169" spans="1:25" ht="10.5" customHeight="1">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7"/>
        <v>168</v>
      </c>
      <c r="S169" s="16" t="s">
        <v>855</v>
      </c>
      <c r="U169" s="16" t="s">
        <v>791</v>
      </c>
      <c r="V169" s="26" t="s">
        <v>856</v>
      </c>
      <c r="Y169" s="16" t="s">
        <v>857</v>
      </c>
    </row>
    <row r="170" spans="1:25" ht="10.5" customHeight="1">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7"/>
        <v>169</v>
      </c>
      <c r="S170" s="16" t="s">
        <v>855</v>
      </c>
      <c r="U170" s="16" t="s">
        <v>103</v>
      </c>
      <c r="V170" s="16" t="s">
        <v>858</v>
      </c>
      <c r="Y170" s="16" t="s">
        <v>103</v>
      </c>
    </row>
    <row r="171" spans="1:25" s="19" customFormat="1">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7"/>
        <v>170</v>
      </c>
      <c r="S171" s="19" t="s">
        <v>859</v>
      </c>
    </row>
    <row r="172" spans="1: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7"/>
        <v>171</v>
      </c>
      <c r="S172" s="16" t="s">
        <v>860</v>
      </c>
    </row>
    <row r="173" spans="1: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7"/>
        <v>172</v>
      </c>
      <c r="S173" s="16" t="s">
        <v>860</v>
      </c>
    </row>
    <row r="174" spans="1: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7"/>
        <v>173</v>
      </c>
      <c r="S174" s="16" t="s">
        <v>861</v>
      </c>
    </row>
    <row r="175" spans="1: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7"/>
        <v>174</v>
      </c>
      <c r="S175" s="16" t="s">
        <v>862</v>
      </c>
    </row>
    <row r="176" spans="1: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7"/>
        <v>175</v>
      </c>
      <c r="S176" s="16" t="s">
        <v>863</v>
      </c>
    </row>
    <row r="177" spans="1: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7"/>
        <v>176</v>
      </c>
      <c r="S177" s="16" t="s">
        <v>863</v>
      </c>
    </row>
    <row r="178" spans="1:25">
      <c r="J178" s="16">
        <f t="shared" si="17"/>
        <v>177</v>
      </c>
    </row>
    <row r="179" spans="1:25">
      <c r="J179" s="16">
        <f t="shared" si="17"/>
        <v>178</v>
      </c>
    </row>
    <row r="180" spans="1: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7"/>
        <v>179</v>
      </c>
      <c r="U180" s="18" t="s">
        <v>865</v>
      </c>
    </row>
    <row r="181" spans="1:25" s="19" customFormat="1">
      <c r="A181" s="22" t="str">
        <f t="shared" ref="A181:A215" si="19">+A143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7"/>
        <v>180</v>
      </c>
      <c r="U181" s="19" t="s">
        <v>336</v>
      </c>
      <c r="Y181" s="19" t="s">
        <v>866</v>
      </c>
    </row>
    <row r="182" spans="1:25">
      <c r="A182" s="16" t="str">
        <f t="shared" si="19"/>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7"/>
        <v>181</v>
      </c>
      <c r="U182" s="16" t="s">
        <v>867</v>
      </c>
      <c r="Y182" s="16" t="s">
        <v>868</v>
      </c>
    </row>
    <row r="183" spans="1:25">
      <c r="A183" s="16" t="str">
        <f t="shared" si="19"/>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7"/>
        <v>182</v>
      </c>
      <c r="U183" s="16" t="s">
        <v>867</v>
      </c>
      <c r="Y183" s="16" t="s">
        <v>542</v>
      </c>
    </row>
    <row r="184" spans="1:25">
      <c r="A184" s="16" t="str">
        <f t="shared" si="19"/>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7"/>
        <v>183</v>
      </c>
      <c r="U184" s="16" t="s">
        <v>869</v>
      </c>
      <c r="Y184" s="16" t="s">
        <v>675</v>
      </c>
    </row>
    <row r="185" spans="1:25">
      <c r="A185" s="16" t="str">
        <f t="shared" si="19"/>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7"/>
        <v>184</v>
      </c>
      <c r="U185" s="16" t="s">
        <v>870</v>
      </c>
      <c r="Y185" s="14">
        <v>0</v>
      </c>
    </row>
    <row r="186" spans="1:25">
      <c r="A186" s="16" t="str">
        <f t="shared" si="19"/>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7"/>
        <v>185</v>
      </c>
      <c r="U186" s="16" t="s">
        <v>871</v>
      </c>
      <c r="Y186" s="14">
        <v>0</v>
      </c>
    </row>
    <row r="187" spans="1:25">
      <c r="A187" s="16" t="str">
        <f t="shared" si="19"/>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7"/>
        <v>186</v>
      </c>
      <c r="U187" s="16" t="s">
        <v>103</v>
      </c>
      <c r="Y187" s="16" t="s">
        <v>103</v>
      </c>
    </row>
    <row r="188" spans="1:25" s="19" customFormat="1">
      <c r="A188" s="22" t="str">
        <f t="shared" si="19"/>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7"/>
        <v>187</v>
      </c>
      <c r="U188" s="19" t="s">
        <v>872</v>
      </c>
    </row>
    <row r="189" spans="1:25">
      <c r="A189" s="16" t="str">
        <f t="shared" si="19"/>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7"/>
        <v>188</v>
      </c>
      <c r="U189" s="16" t="s">
        <v>224</v>
      </c>
    </row>
    <row r="190" spans="1:25">
      <c r="A190" s="16" t="str">
        <f t="shared" si="19"/>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7"/>
        <v>189</v>
      </c>
      <c r="U190" s="16" t="s">
        <v>202</v>
      </c>
    </row>
    <row r="191" spans="1:25">
      <c r="A191" s="16" t="str">
        <f t="shared" si="19"/>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7"/>
        <v>190</v>
      </c>
      <c r="U191" s="16" t="s">
        <v>873</v>
      </c>
    </row>
    <row r="192" spans="1:25">
      <c r="A192" s="16" t="str">
        <f t="shared" si="19"/>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7"/>
        <v>191</v>
      </c>
      <c r="U192" s="16" t="s">
        <v>874</v>
      </c>
    </row>
    <row r="193" spans="1:21">
      <c r="A193" s="16" t="str">
        <f t="shared" si="19"/>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7"/>
        <v>192</v>
      </c>
      <c r="U193" s="16" t="s">
        <v>875</v>
      </c>
    </row>
    <row r="194" spans="1:21">
      <c r="A194" s="16" t="str">
        <f t="shared" si="19"/>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7"/>
        <v>193</v>
      </c>
      <c r="U194" s="16" t="s">
        <v>103</v>
      </c>
    </row>
    <row r="195" spans="1:21" s="19" customFormat="1">
      <c r="A195" s="22" t="str">
        <f t="shared" si="19"/>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ref="J195:J215" si="20">+J194+1</f>
        <v>194</v>
      </c>
      <c r="U195" s="19" t="s">
        <v>876</v>
      </c>
    </row>
    <row r="196" spans="1:21">
      <c r="A196" s="16" t="str">
        <f t="shared" si="19"/>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20"/>
        <v>195</v>
      </c>
      <c r="U196" s="16" t="s">
        <v>224</v>
      </c>
    </row>
    <row r="197" spans="1:21">
      <c r="A197" s="16" t="str">
        <f t="shared" si="19"/>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20"/>
        <v>196</v>
      </c>
      <c r="U197" s="16" t="s">
        <v>202</v>
      </c>
    </row>
    <row r="198" spans="1:21">
      <c r="A198" s="16" t="str">
        <f t="shared" si="19"/>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20"/>
        <v>197</v>
      </c>
      <c r="U198" s="16" t="s">
        <v>419</v>
      </c>
    </row>
    <row r="199" spans="1:21">
      <c r="A199" s="16" t="str">
        <f t="shared" si="19"/>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20"/>
        <v>198</v>
      </c>
      <c r="U199" s="16" t="s">
        <v>429</v>
      </c>
    </row>
    <row r="200" spans="1:21">
      <c r="A200" s="16" t="str">
        <f t="shared" si="19"/>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20"/>
        <v>199</v>
      </c>
      <c r="U200" s="16" t="s">
        <v>835</v>
      </c>
    </row>
    <row r="201" spans="1:21">
      <c r="A201" s="16" t="str">
        <f t="shared" si="19"/>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20"/>
        <v>200</v>
      </c>
      <c r="U201" s="16" t="s">
        <v>103</v>
      </c>
    </row>
    <row r="202" spans="1:21" s="19" customFormat="1">
      <c r="A202" s="22" t="str">
        <f t="shared" si="19"/>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20"/>
        <v>201</v>
      </c>
      <c r="U202" s="19" t="s">
        <v>877</v>
      </c>
    </row>
    <row r="203" spans="1:21">
      <c r="A203" s="16" t="str">
        <f t="shared" si="19"/>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20"/>
        <v>202</v>
      </c>
      <c r="U203" s="16" t="s">
        <v>412</v>
      </c>
    </row>
    <row r="204" spans="1:21">
      <c r="A204" s="16" t="str">
        <f t="shared" si="19"/>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20"/>
        <v>203</v>
      </c>
      <c r="U204" s="16" t="s">
        <v>878</v>
      </c>
    </row>
    <row r="205" spans="1:21">
      <c r="A205" s="16" t="str">
        <f t="shared" si="19"/>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20"/>
        <v>204</v>
      </c>
      <c r="U205" s="16" t="s">
        <v>879</v>
      </c>
    </row>
    <row r="206" spans="1:21">
      <c r="A206" s="16" t="str">
        <f t="shared" si="19"/>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20"/>
        <v>205</v>
      </c>
      <c r="U206" s="16" t="s">
        <v>849</v>
      </c>
    </row>
    <row r="207" spans="1:21">
      <c r="A207" s="16" t="str">
        <f t="shared" si="19"/>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20"/>
        <v>206</v>
      </c>
      <c r="U207" s="16" t="s">
        <v>548</v>
      </c>
    </row>
    <row r="208" spans="1:21">
      <c r="A208" s="16" t="str">
        <f t="shared" si="19"/>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20"/>
        <v>207</v>
      </c>
      <c r="U208" s="16" t="s">
        <v>103</v>
      </c>
    </row>
    <row r="209" spans="1:21" s="19" customFormat="1">
      <c r="A209" s="22" t="str">
        <f t="shared" si="19"/>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20"/>
        <v>208</v>
      </c>
    </row>
    <row r="210" spans="1:21">
      <c r="A210" s="16" t="str">
        <f t="shared" si="19"/>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20"/>
        <v>209</v>
      </c>
    </row>
    <row r="211" spans="1:21">
      <c r="A211" s="16" t="str">
        <f t="shared" si="19"/>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20"/>
        <v>210</v>
      </c>
    </row>
    <row r="212" spans="1:21">
      <c r="A212" s="16" t="str">
        <f t="shared" si="19"/>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20"/>
        <v>211</v>
      </c>
    </row>
    <row r="213" spans="1:21">
      <c r="A213" s="16" t="str">
        <f t="shared" si="19"/>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20"/>
        <v>212</v>
      </c>
    </row>
    <row r="214" spans="1:21">
      <c r="A214" s="16" t="str">
        <f t="shared" si="19"/>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20"/>
        <v>213</v>
      </c>
    </row>
    <row r="215" spans="1:21">
      <c r="A215" s="16" t="str">
        <f t="shared" si="19"/>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20"/>
        <v>214</v>
      </c>
    </row>
    <row r="218" spans="1:21">
      <c r="A218" s="24" t="s">
        <v>880</v>
      </c>
      <c r="U218" s="18" t="s">
        <v>881</v>
      </c>
    </row>
    <row r="219" spans="1:21" s="19" customFormat="1">
      <c r="A219" s="22" t="str">
        <f t="shared" ref="A219:A253" si="21">+A181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c r="A220" s="16" t="str">
        <f t="shared" si="21"/>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c r="A256" s="24" t="s">
        <v>886</v>
      </c>
      <c r="U256" s="18" t="s">
        <v>887</v>
      </c>
    </row>
    <row r="257" spans="1:21" s="19" customFormat="1">
      <c r="A257" s="22" t="str">
        <f t="shared" ref="A257:A291" si="22">+A219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c r="A258" s="16" t="str">
        <f t="shared" si="22"/>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724"/>
  <sheetViews>
    <sheetView topLeftCell="AN1" zoomScaleNormal="100" workbookViewId="0">
      <selection activeCell="AT22" sqref="AT22"/>
    </sheetView>
  </sheetViews>
  <sheetFormatPr baseColWidth="10" defaultColWidth="8.83203125" defaultRowHeight="15"/>
  <cols>
    <col min="1" max="1" width="37.6640625" style="51" customWidth="1"/>
    <col min="2" max="2" width="37.33203125" style="51" bestFit="1" customWidth="1"/>
    <col min="3" max="3" width="24.1640625" style="51" customWidth="1"/>
    <col min="4" max="4" width="16.33203125" style="51" customWidth="1"/>
    <col min="5" max="5" width="10.6640625" style="51" customWidth="1"/>
    <col min="6" max="6" width="10.83203125" style="51" customWidth="1"/>
    <col min="7" max="7" width="19.5" style="51" bestFit="1" customWidth="1"/>
    <col min="8" max="8" width="9.6640625" style="51" customWidth="1"/>
    <col min="9" max="9" width="18.6640625" style="51" bestFit="1" customWidth="1"/>
    <col min="10" max="10" width="13.6640625" style="51" customWidth="1"/>
    <col min="11" max="15" width="16.33203125" style="51" customWidth="1"/>
    <col min="16" max="16" width="8" style="51" bestFit="1" customWidth="1"/>
    <col min="17" max="17" width="16.33203125" style="51" customWidth="1"/>
    <col min="18" max="18" width="5.1640625" style="51" bestFit="1" customWidth="1"/>
    <col min="19" max="19" width="9.1640625" style="51" customWidth="1"/>
    <col min="20" max="20" width="7" style="51" customWidth="1"/>
    <col min="21" max="21" width="15.6640625" style="51" bestFit="1" customWidth="1"/>
    <col min="22" max="22" width="20.1640625" style="51" customWidth="1"/>
    <col min="23" max="23" width="23.1640625" style="51" customWidth="1"/>
    <col min="24" max="24" width="16.33203125" style="51" bestFit="1" customWidth="1"/>
    <col min="25" max="25" width="19.1640625" style="51" customWidth="1"/>
    <col min="26" max="26" width="19.6640625" style="51" bestFit="1" customWidth="1"/>
    <col min="27" max="27" width="28.1640625" style="51" customWidth="1"/>
    <col min="28" max="28" width="16.5" style="51" bestFit="1" customWidth="1"/>
    <col min="29" max="29" width="12.83203125" style="51" customWidth="1"/>
    <col min="30" max="31" width="9" customWidth="1"/>
    <col min="32" max="32" width="55" bestFit="1" customWidth="1"/>
    <col min="33" max="33" width="36.33203125" bestFit="1" customWidth="1"/>
    <col min="34" max="34" width="37" bestFit="1" customWidth="1"/>
    <col min="35" max="35" width="27.33203125" bestFit="1" customWidth="1"/>
    <col min="36" max="36" width="17.83203125" bestFit="1" customWidth="1"/>
    <col min="37" max="37" width="28.33203125" bestFit="1" customWidth="1"/>
    <col min="38" max="38" width="33.6640625" bestFit="1" customWidth="1"/>
    <col min="39" max="39" width="19" customWidth="1"/>
    <col min="40" max="40" width="19.83203125" customWidth="1"/>
    <col min="41" max="41" width="15" customWidth="1"/>
    <col min="42" max="42" width="14.6640625" customWidth="1"/>
    <col min="43" max="43" width="7.6640625" bestFit="1" customWidth="1"/>
    <col min="44" max="44" width="7.6640625" customWidth="1"/>
    <col min="45" max="45" width="11.1640625" customWidth="1"/>
    <col min="46" max="46" width="11.5" customWidth="1"/>
    <col min="47" max="47" width="15" customWidth="1"/>
    <col min="55" max="55" width="34.6640625" bestFit="1" customWidth="1"/>
    <col min="70" max="70" width="30.1640625" customWidth="1"/>
    <col min="71" max="71" width="20.1640625" customWidth="1"/>
    <col min="81" max="81" width="15.33203125" bestFit="1" customWidth="1"/>
    <col min="82" max="82" width="22" bestFit="1" customWidth="1"/>
  </cols>
  <sheetData>
    <row r="1" spans="1:47" s="10" customFormat="1" ht="24" customHeight="1">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customHeight="1">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customHeight="1">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customHeight="1">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customHeight="1">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customHeight="1">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customHeight="1">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customHeight="1">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customHeight="1">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customHeight="1">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customHeight="1">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customHeight="1">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customHeight="1">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customHeight="1">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customHeight="1">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customHeight="1">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customHeight="1">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customHeight="1">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customHeight="1">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customHeight="1">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customHeight="1">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customHeight="1">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customHeight="1">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customHeight="1">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customHeight="1">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customHeight="1">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customHeight="1">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customHeight="1">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customHeight="1">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customHeight="1">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customHeight="1">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customHeight="1">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customHeight="1">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customHeight="1">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customHeight="1">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customHeight="1">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customHeight="1">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customHeight="1">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customHeight="1">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customHeight="1">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customHeight="1">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customHeight="1">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c r="O64" s="42"/>
      <c r="P64" s="42"/>
      <c r="AH64" s="45" t="s">
        <v>1593</v>
      </c>
      <c r="AI64" s="45" t="s">
        <v>1594</v>
      </c>
      <c r="AJ64" s="43" t="s">
        <v>1582</v>
      </c>
      <c r="AK64" s="43" t="s">
        <v>1595</v>
      </c>
      <c r="AL64" s="45" t="s">
        <v>1595</v>
      </c>
      <c r="AM64" s="45" t="s">
        <v>1596</v>
      </c>
      <c r="AN64" t="s">
        <v>1597</v>
      </c>
      <c r="AO64" s="45">
        <v>607242</v>
      </c>
      <c r="AP64" s="46"/>
    </row>
    <row r="65" spans="15:42">
      <c r="O65" s="42"/>
      <c r="P65" s="42"/>
      <c r="AH65" s="45" t="s">
        <v>1598</v>
      </c>
      <c r="AI65" s="43" t="s">
        <v>1599</v>
      </c>
      <c r="AJ65" s="43" t="s">
        <v>1600</v>
      </c>
      <c r="AK65" s="43" t="s">
        <v>1601</v>
      </c>
      <c r="AL65" s="43" t="s">
        <v>1601</v>
      </c>
      <c r="AM65" s="43" t="s">
        <v>1602</v>
      </c>
      <c r="AN65" t="s">
        <v>1603</v>
      </c>
      <c r="AO65" s="45">
        <v>572924</v>
      </c>
      <c r="AP65" s="46"/>
    </row>
    <row r="66" spans="15:42">
      <c r="O66" s="42"/>
      <c r="P66" s="42"/>
      <c r="AH66" s="45" t="s">
        <v>1604</v>
      </c>
      <c r="AI66" s="43" t="s">
        <v>1605</v>
      </c>
      <c r="AJ66" s="43" t="s">
        <v>1606</v>
      </c>
      <c r="AK66" s="43" t="s">
        <v>1607</v>
      </c>
      <c r="AL66" s="43" t="s">
        <v>1607</v>
      </c>
      <c r="AM66" s="43" t="s">
        <v>1608</v>
      </c>
      <c r="AN66" t="s">
        <v>1609</v>
      </c>
      <c r="AO66" s="45">
        <v>417801</v>
      </c>
      <c r="AP66" s="46"/>
    </row>
    <row r="67" spans="15:42">
      <c r="O67" s="42"/>
      <c r="P67" s="42"/>
      <c r="AH67" s="45" t="s">
        <v>1610</v>
      </c>
      <c r="AI67" s="43" t="s">
        <v>1611</v>
      </c>
      <c r="AJ67" s="43" t="s">
        <v>1612</v>
      </c>
      <c r="AK67" s="43" t="s">
        <v>1613</v>
      </c>
      <c r="AL67" s="43" t="s">
        <v>1614</v>
      </c>
      <c r="AM67" s="43" t="s">
        <v>1615</v>
      </c>
      <c r="AN67" t="s">
        <v>1616</v>
      </c>
      <c r="AO67" s="45">
        <v>616867</v>
      </c>
      <c r="AP67" s="46"/>
    </row>
    <row r="68" spans="15:42">
      <c r="O68" s="42"/>
      <c r="P68" s="42"/>
      <c r="AH68" s="45" t="s">
        <v>1617</v>
      </c>
      <c r="AI68" s="43" t="s">
        <v>1618</v>
      </c>
      <c r="AJ68" s="43" t="s">
        <v>1612</v>
      </c>
      <c r="AK68" s="43" t="s">
        <v>1619</v>
      </c>
      <c r="AL68" s="43" t="s">
        <v>1614</v>
      </c>
      <c r="AM68" s="43" t="s">
        <v>1615</v>
      </c>
      <c r="AN68" t="s">
        <v>1620</v>
      </c>
      <c r="AO68" s="45">
        <v>567718</v>
      </c>
      <c r="AP68" s="46"/>
    </row>
    <row r="69" spans="15:42">
      <c r="O69" s="42"/>
      <c r="P69" s="42"/>
      <c r="AH69" s="45" t="s">
        <v>1621</v>
      </c>
      <c r="AI69" s="43" t="s">
        <v>1622</v>
      </c>
      <c r="AJ69" s="43" t="s">
        <v>1612</v>
      </c>
      <c r="AK69" s="43" t="s">
        <v>1623</v>
      </c>
      <c r="AL69" s="43" t="s">
        <v>1614</v>
      </c>
      <c r="AM69" s="43" t="s">
        <v>1615</v>
      </c>
      <c r="AN69" t="s">
        <v>1624</v>
      </c>
      <c r="AO69" s="45">
        <v>480410</v>
      </c>
      <c r="AP69" s="46"/>
    </row>
    <row r="70" spans="15:42">
      <c r="O70" s="42"/>
      <c r="P70" s="42"/>
      <c r="AH70" s="45" t="s">
        <v>1625</v>
      </c>
      <c r="AI70" s="43" t="s">
        <v>1626</v>
      </c>
      <c r="AJ70" s="43" t="s">
        <v>1612</v>
      </c>
      <c r="AK70" s="43" t="s">
        <v>1627</v>
      </c>
      <c r="AL70" s="43" t="s">
        <v>1614</v>
      </c>
      <c r="AM70" s="43" t="s">
        <v>1615</v>
      </c>
      <c r="AN70" t="s">
        <v>1628</v>
      </c>
      <c r="AO70" s="45">
        <v>563832</v>
      </c>
      <c r="AP70" s="46"/>
    </row>
    <row r="71" spans="15:42">
      <c r="O71" s="42"/>
      <c r="P71" s="42"/>
      <c r="AH71" s="45" t="s">
        <v>1629</v>
      </c>
      <c r="AI71" s="43" t="s">
        <v>1630</v>
      </c>
      <c r="AJ71" s="43" t="s">
        <v>1612</v>
      </c>
      <c r="AK71" s="43" t="s">
        <v>1631</v>
      </c>
      <c r="AL71" s="43" t="s">
        <v>1614</v>
      </c>
      <c r="AM71" s="43" t="s">
        <v>1615</v>
      </c>
      <c r="AN71" t="s">
        <v>1632</v>
      </c>
      <c r="AO71" s="45">
        <v>103417</v>
      </c>
      <c r="AP71" s="46"/>
    </row>
    <row r="72" spans="15:42">
      <c r="O72" s="42"/>
      <c r="P72" s="42"/>
      <c r="AH72" s="45" t="s">
        <v>1633</v>
      </c>
      <c r="AI72" s="43" t="s">
        <v>1634</v>
      </c>
      <c r="AJ72" s="43" t="s">
        <v>1612</v>
      </c>
      <c r="AK72" s="43" t="s">
        <v>1635</v>
      </c>
      <c r="AL72" s="43" t="s">
        <v>1614</v>
      </c>
      <c r="AM72" s="43" t="s">
        <v>1615</v>
      </c>
      <c r="AN72" t="s">
        <v>1636</v>
      </c>
      <c r="AO72" s="45">
        <v>563879</v>
      </c>
      <c r="AP72" s="46"/>
    </row>
    <row r="73" spans="15:42">
      <c r="O73" s="42"/>
      <c r="P73" s="42"/>
      <c r="AH73" s="45" t="s">
        <v>1637</v>
      </c>
      <c r="AI73" s="43" t="s">
        <v>1638</v>
      </c>
      <c r="AJ73" s="43" t="s">
        <v>1612</v>
      </c>
      <c r="AK73" s="43" t="s">
        <v>1639</v>
      </c>
      <c r="AL73" s="43" t="s">
        <v>1614</v>
      </c>
      <c r="AM73" s="43" t="s">
        <v>1615</v>
      </c>
      <c r="AN73" t="s">
        <v>1640</v>
      </c>
      <c r="AO73" s="45">
        <v>616958</v>
      </c>
      <c r="AP73" s="46"/>
    </row>
    <row r="74" spans="15:42">
      <c r="O74" s="42"/>
      <c r="P74" s="42"/>
      <c r="AH74" s="45" t="s">
        <v>1641</v>
      </c>
      <c r="AI74" s="43" t="s">
        <v>1642</v>
      </c>
      <c r="AJ74" s="43" t="s">
        <v>1003</v>
      </c>
      <c r="AK74" s="43" t="s">
        <v>1642</v>
      </c>
      <c r="AN74" t="s">
        <v>1643</v>
      </c>
      <c r="AO74" s="45">
        <v>555276</v>
      </c>
      <c r="AP74" s="46"/>
    </row>
    <row r="75" spans="15:42">
      <c r="O75" s="42"/>
      <c r="P75" s="42"/>
      <c r="AH75" s="45" t="s">
        <v>1644</v>
      </c>
      <c r="AI75" s="43" t="s">
        <v>1645</v>
      </c>
      <c r="AJ75" s="43" t="s">
        <v>1003</v>
      </c>
      <c r="AK75" s="43" t="s">
        <v>1645</v>
      </c>
      <c r="AN75" t="s">
        <v>1646</v>
      </c>
      <c r="AO75" s="45">
        <v>615565</v>
      </c>
      <c r="AP75" s="46"/>
    </row>
    <row r="76" spans="15:42">
      <c r="O76" s="42"/>
      <c r="P76" s="42"/>
      <c r="AH76" s="45" t="s">
        <v>1647</v>
      </c>
      <c r="AI76" s="43" t="s">
        <v>1648</v>
      </c>
      <c r="AJ76" s="43" t="s">
        <v>1003</v>
      </c>
      <c r="AK76" s="43" t="s">
        <v>1648</v>
      </c>
      <c r="AN76" t="s">
        <v>1649</v>
      </c>
      <c r="AO76" s="45">
        <v>567044</v>
      </c>
      <c r="AP76" s="46"/>
    </row>
    <row r="77" spans="15:42">
      <c r="O77" s="42"/>
      <c r="P77" s="42"/>
      <c r="AH77" s="45" t="s">
        <v>1650</v>
      </c>
      <c r="AI77" s="43" t="s">
        <v>1651</v>
      </c>
      <c r="AJ77" s="43" t="s">
        <v>1003</v>
      </c>
      <c r="AK77" s="43" t="s">
        <v>1651</v>
      </c>
      <c r="AN77" t="s">
        <v>1652</v>
      </c>
      <c r="AO77" s="45">
        <v>617031</v>
      </c>
      <c r="AP77" s="46"/>
    </row>
    <row r="78" spans="15:42">
      <c r="O78" s="42"/>
      <c r="P78" s="42"/>
      <c r="AH78" s="45" t="s">
        <v>1653</v>
      </c>
      <c r="AI78" s="43" t="s">
        <v>1654</v>
      </c>
      <c r="AJ78" s="43" t="s">
        <v>1003</v>
      </c>
      <c r="AK78" s="43" t="s">
        <v>1654</v>
      </c>
      <c r="AN78" t="s">
        <v>1655</v>
      </c>
      <c r="AO78" s="45">
        <v>617033</v>
      </c>
      <c r="AP78" s="46"/>
    </row>
    <row r="79" spans="15:42">
      <c r="O79" s="42"/>
      <c r="P79" s="42"/>
      <c r="AH79" s="45" t="s">
        <v>1656</v>
      </c>
      <c r="AI79" s="43" t="s">
        <v>1657</v>
      </c>
      <c r="AJ79" s="43" t="s">
        <v>1003</v>
      </c>
      <c r="AK79" s="43" t="s">
        <v>1657</v>
      </c>
      <c r="AN79" t="s">
        <v>1658</v>
      </c>
      <c r="AO79" s="45">
        <v>564528</v>
      </c>
      <c r="AP79" s="46"/>
    </row>
    <row r="80" spans="15:42">
      <c r="O80" s="42"/>
      <c r="P80" s="42"/>
      <c r="AH80" s="45" t="s">
        <v>1659</v>
      </c>
      <c r="AI80" s="43" t="s">
        <v>1660</v>
      </c>
      <c r="AJ80" s="43" t="s">
        <v>1003</v>
      </c>
      <c r="AK80" s="43" t="s">
        <v>1660</v>
      </c>
      <c r="AN80" t="s">
        <v>1661</v>
      </c>
      <c r="AO80" s="45">
        <v>609628</v>
      </c>
      <c r="AP80" s="46"/>
    </row>
    <row r="81" spans="15:42">
      <c r="O81" s="42"/>
      <c r="P81" s="42"/>
      <c r="AH81" s="45" t="s">
        <v>1662</v>
      </c>
      <c r="AI81" s="43" t="s">
        <v>1663</v>
      </c>
      <c r="AJ81" s="43" t="s">
        <v>1003</v>
      </c>
      <c r="AK81" s="43" t="s">
        <v>1663</v>
      </c>
      <c r="AN81" t="s">
        <v>1664</v>
      </c>
      <c r="AO81" s="45">
        <v>564254</v>
      </c>
      <c r="AP81" s="46"/>
    </row>
    <row r="82" spans="15:42">
      <c r="O82" s="42"/>
      <c r="P82" s="42"/>
      <c r="AH82" s="45" t="s">
        <v>1665</v>
      </c>
      <c r="AI82" s="43" t="s">
        <v>1666</v>
      </c>
      <c r="AJ82" s="43" t="s">
        <v>1003</v>
      </c>
      <c r="AK82" s="43" t="s">
        <v>1666</v>
      </c>
      <c r="AN82" t="s">
        <v>1667</v>
      </c>
      <c r="AO82" s="45">
        <v>470689</v>
      </c>
      <c r="AP82" s="46"/>
    </row>
    <row r="83" spans="15:42">
      <c r="O83" s="42"/>
      <c r="P83" s="42"/>
      <c r="AH83" s="45" t="s">
        <v>1668</v>
      </c>
      <c r="AI83" s="43" t="s">
        <v>1669</v>
      </c>
      <c r="AJ83" s="43" t="s">
        <v>1003</v>
      </c>
      <c r="AK83" s="43" t="s">
        <v>1669</v>
      </c>
      <c r="AN83" t="s">
        <v>1670</v>
      </c>
      <c r="AO83" s="45">
        <v>455216</v>
      </c>
      <c r="AP83" s="46"/>
    </row>
    <row r="84" spans="15:42">
      <c r="O84" s="42"/>
      <c r="P84" s="42"/>
      <c r="AH84" s="45" t="s">
        <v>1671</v>
      </c>
      <c r="AI84" s="43" t="s">
        <v>1672</v>
      </c>
      <c r="AJ84" s="43" t="s">
        <v>1003</v>
      </c>
      <c r="AK84" s="43" t="s">
        <v>1672</v>
      </c>
      <c r="AN84" t="s">
        <v>1673</v>
      </c>
      <c r="AO84" s="45">
        <v>417796</v>
      </c>
      <c r="AP84" s="46"/>
    </row>
    <row r="85" spans="15:42">
      <c r="O85" s="42"/>
      <c r="P85" s="42"/>
      <c r="AH85" s="45" t="s">
        <v>1674</v>
      </c>
      <c r="AI85" s="43" t="s">
        <v>1675</v>
      </c>
      <c r="AJ85" s="43" t="s">
        <v>1003</v>
      </c>
      <c r="AK85" s="43" t="s">
        <v>1675</v>
      </c>
      <c r="AN85" t="s">
        <v>1676</v>
      </c>
      <c r="AO85" s="45">
        <v>567264</v>
      </c>
      <c r="AP85" s="46"/>
    </row>
    <row r="86" spans="15:42">
      <c r="O86" s="42"/>
      <c r="P86" s="42"/>
      <c r="AH86" s="45" t="s">
        <v>1677</v>
      </c>
      <c r="AI86" s="43" t="s">
        <v>1678</v>
      </c>
      <c r="AJ86" s="43" t="s">
        <v>1003</v>
      </c>
      <c r="AK86" s="43" t="s">
        <v>1678</v>
      </c>
      <c r="AN86" t="s">
        <v>1679</v>
      </c>
      <c r="AO86" s="45">
        <v>566475</v>
      </c>
      <c r="AP86" s="46"/>
    </row>
    <row r="87" spans="15:42">
      <c r="O87" s="42"/>
      <c r="P87" s="42"/>
      <c r="AH87" s="45" t="s">
        <v>1680</v>
      </c>
      <c r="AI87" s="43" t="s">
        <v>1681</v>
      </c>
      <c r="AJ87" s="43" t="s">
        <v>1003</v>
      </c>
      <c r="AK87" s="43" t="s">
        <v>1681</v>
      </c>
      <c r="AN87" t="s">
        <v>1682</v>
      </c>
      <c r="AO87" s="45">
        <v>567261</v>
      </c>
      <c r="AP87" s="46"/>
    </row>
    <row r="88" spans="15:42">
      <c r="O88" s="42"/>
      <c r="P88" s="42"/>
      <c r="AH88" s="45" t="s">
        <v>1683</v>
      </c>
      <c r="AI88" s="43" t="s">
        <v>1684</v>
      </c>
      <c r="AJ88" s="43" t="s">
        <v>1003</v>
      </c>
      <c r="AK88" s="43" t="s">
        <v>1684</v>
      </c>
      <c r="AN88" t="s">
        <v>1685</v>
      </c>
      <c r="AO88" s="45">
        <v>567296</v>
      </c>
      <c r="AP88" s="46"/>
    </row>
    <row r="89" spans="15:42">
      <c r="O89" s="42"/>
      <c r="P89" s="42"/>
      <c r="AH89" s="45" t="s">
        <v>1686</v>
      </c>
      <c r="AI89" s="43" t="s">
        <v>1687</v>
      </c>
      <c r="AJ89" s="43" t="s">
        <v>1003</v>
      </c>
      <c r="AK89" s="43" t="s">
        <v>1687</v>
      </c>
      <c r="AN89" t="s">
        <v>1688</v>
      </c>
      <c r="AO89" s="45">
        <v>567262</v>
      </c>
      <c r="AP89" s="46"/>
    </row>
    <row r="90" spans="15:42">
      <c r="O90" s="42"/>
      <c r="P90" s="42"/>
      <c r="AH90" s="45" t="s">
        <v>1689</v>
      </c>
      <c r="AI90" s="43" t="s">
        <v>1690</v>
      </c>
      <c r="AJ90" s="43" t="s">
        <v>1003</v>
      </c>
      <c r="AK90" s="43" t="s">
        <v>1690</v>
      </c>
      <c r="AN90" t="s">
        <v>1691</v>
      </c>
      <c r="AO90" s="45">
        <v>486268</v>
      </c>
      <c r="AP90" s="46"/>
    </row>
    <row r="91" spans="15:42">
      <c r="O91" s="42"/>
      <c r="P91" s="42"/>
      <c r="AH91" s="45" t="s">
        <v>1656</v>
      </c>
      <c r="AI91" s="43" t="s">
        <v>1692</v>
      </c>
      <c r="AJ91" s="43" t="s">
        <v>1003</v>
      </c>
      <c r="AK91" s="43" t="s">
        <v>1692</v>
      </c>
      <c r="AN91" t="s">
        <v>1693</v>
      </c>
      <c r="AO91" s="45">
        <v>609627</v>
      </c>
      <c r="AP91" s="46"/>
    </row>
    <row r="92" spans="15:42">
      <c r="O92" s="42"/>
      <c r="P92" s="42"/>
      <c r="AH92" s="45" t="s">
        <v>1694</v>
      </c>
      <c r="AI92" s="43" t="s">
        <v>1695</v>
      </c>
      <c r="AJ92" s="43" t="s">
        <v>1003</v>
      </c>
      <c r="AK92" s="43" t="s">
        <v>1695</v>
      </c>
      <c r="AN92" t="s">
        <v>1696</v>
      </c>
      <c r="AO92" s="45">
        <v>96263</v>
      </c>
      <c r="AP92" s="46"/>
    </row>
    <row r="93" spans="15:42">
      <c r="O93" s="42"/>
      <c r="P93" s="42"/>
      <c r="AH93" s="45" t="s">
        <v>1697</v>
      </c>
      <c r="AI93" s="43" t="s">
        <v>1698</v>
      </c>
      <c r="AJ93" s="43" t="s">
        <v>1003</v>
      </c>
      <c r="AK93" s="43" t="s">
        <v>1698</v>
      </c>
      <c r="AN93" t="s">
        <v>1699</v>
      </c>
      <c r="AO93" s="45">
        <v>608360</v>
      </c>
      <c r="AP93" s="46"/>
    </row>
    <row r="94" spans="15:42">
      <c r="O94" s="42"/>
      <c r="P94" s="42"/>
      <c r="AH94" s="45" t="s">
        <v>1700</v>
      </c>
      <c r="AI94" s="43" t="s">
        <v>1701</v>
      </c>
      <c r="AJ94" s="43" t="s">
        <v>1003</v>
      </c>
      <c r="AK94" s="43" t="s">
        <v>1701</v>
      </c>
      <c r="AN94" t="s">
        <v>1702</v>
      </c>
      <c r="AO94" s="45">
        <v>544655</v>
      </c>
      <c r="AP94" s="46"/>
    </row>
    <row r="95" spans="15:42">
      <c r="O95" s="42"/>
      <c r="P95" s="42"/>
      <c r="AH95" s="45" t="s">
        <v>1703</v>
      </c>
      <c r="AI95" s="43" t="s">
        <v>1704</v>
      </c>
      <c r="AJ95" s="43" t="s">
        <v>1003</v>
      </c>
      <c r="AK95" s="43" t="s">
        <v>1704</v>
      </c>
      <c r="AN95" t="s">
        <v>1705</v>
      </c>
      <c r="AO95" s="45">
        <v>566355</v>
      </c>
      <c r="AP95" s="46"/>
    </row>
    <row r="96" spans="15:42">
      <c r="O96" s="42"/>
      <c r="P96" s="42"/>
      <c r="AH96" s="45" t="s">
        <v>1706</v>
      </c>
      <c r="AI96" s="43" t="s">
        <v>1707</v>
      </c>
      <c r="AJ96" s="43" t="s">
        <v>1003</v>
      </c>
      <c r="AK96" s="43" t="s">
        <v>1707</v>
      </c>
      <c r="AN96" t="s">
        <v>1708</v>
      </c>
      <c r="AO96" s="45">
        <v>608829</v>
      </c>
      <c r="AP96" s="46"/>
    </row>
    <row r="97" spans="15:42">
      <c r="O97" s="42"/>
      <c r="P97" s="42"/>
      <c r="AH97" s="45" t="s">
        <v>1656</v>
      </c>
      <c r="AI97" s="43" t="s">
        <v>1709</v>
      </c>
      <c r="AJ97" s="43" t="s">
        <v>1003</v>
      </c>
      <c r="AK97" s="43" t="s">
        <v>1709</v>
      </c>
      <c r="AN97" t="s">
        <v>1710</v>
      </c>
      <c r="AO97" s="45">
        <v>609097</v>
      </c>
      <c r="AP97" s="46"/>
    </row>
    <row r="98" spans="15:42">
      <c r="O98" s="42"/>
      <c r="P98" s="42"/>
      <c r="AH98" s="45" t="s">
        <v>1711</v>
      </c>
      <c r="AI98" s="43" t="s">
        <v>1712</v>
      </c>
      <c r="AJ98" s="43" t="s">
        <v>1003</v>
      </c>
      <c r="AK98" s="43" t="s">
        <v>1712</v>
      </c>
      <c r="AN98" t="s">
        <v>1713</v>
      </c>
      <c r="AO98" s="45">
        <v>606846</v>
      </c>
      <c r="AP98" s="46"/>
    </row>
    <row r="99" spans="15:42">
      <c r="O99" s="42"/>
      <c r="P99" s="42"/>
      <c r="AH99" s="45" t="s">
        <v>1714</v>
      </c>
      <c r="AI99" s="43" t="s">
        <v>1715</v>
      </c>
      <c r="AJ99" s="43" t="s">
        <v>1003</v>
      </c>
      <c r="AK99" s="43" t="s">
        <v>1715</v>
      </c>
      <c r="AN99" t="s">
        <v>1716</v>
      </c>
      <c r="AO99" s="45">
        <v>616312</v>
      </c>
      <c r="AP99" s="46"/>
    </row>
    <row r="100" spans="15:42">
      <c r="O100" s="42"/>
      <c r="P100" s="42"/>
      <c r="AH100" s="45" t="s">
        <v>1717</v>
      </c>
      <c r="AI100" s="43" t="s">
        <v>1718</v>
      </c>
      <c r="AJ100" s="43" t="s">
        <v>1003</v>
      </c>
      <c r="AK100" s="43" t="s">
        <v>1718</v>
      </c>
      <c r="AN100" t="s">
        <v>1719</v>
      </c>
      <c r="AO100" s="45">
        <v>255</v>
      </c>
      <c r="AP100" s="46"/>
    </row>
    <row r="101" spans="15:42">
      <c r="O101" s="42"/>
      <c r="P101" s="42"/>
      <c r="AH101" s="45" t="s">
        <v>1720</v>
      </c>
      <c r="AI101" s="43" t="s">
        <v>1721</v>
      </c>
      <c r="AJ101" s="43" t="s">
        <v>1003</v>
      </c>
      <c r="AK101" s="43" t="s">
        <v>1721</v>
      </c>
      <c r="AN101" t="s">
        <v>1722</v>
      </c>
      <c r="AO101" s="45">
        <v>96262</v>
      </c>
      <c r="AP101" s="46"/>
    </row>
    <row r="102" spans="15:42">
      <c r="O102" s="42"/>
      <c r="P102" s="42"/>
      <c r="AH102" s="45" t="s">
        <v>1723</v>
      </c>
      <c r="AI102" s="43" t="s">
        <v>1724</v>
      </c>
      <c r="AJ102" s="43" t="s">
        <v>1003</v>
      </c>
      <c r="AK102" s="43" t="s">
        <v>1724</v>
      </c>
      <c r="AN102" t="s">
        <v>1722</v>
      </c>
      <c r="AO102" s="45">
        <v>305</v>
      </c>
      <c r="AP102" s="46"/>
    </row>
    <row r="103" spans="15:42">
      <c r="O103" s="42"/>
      <c r="P103" s="42"/>
      <c r="AH103" s="45" t="s">
        <v>1725</v>
      </c>
      <c r="AI103" s="43" t="s">
        <v>1726</v>
      </c>
      <c r="AJ103" s="43" t="s">
        <v>1003</v>
      </c>
      <c r="AK103" s="43" t="s">
        <v>1726</v>
      </c>
      <c r="AN103" t="s">
        <v>1727</v>
      </c>
      <c r="AO103" s="45">
        <v>616917</v>
      </c>
      <c r="AP103" s="46"/>
    </row>
    <row r="104" spans="15:42">
      <c r="O104" s="42"/>
      <c r="P104" s="42"/>
      <c r="AH104" s="45" t="s">
        <v>1728</v>
      </c>
      <c r="AI104" s="43" t="s">
        <v>1729</v>
      </c>
      <c r="AJ104" s="43" t="s">
        <v>1003</v>
      </c>
      <c r="AK104" s="43" t="s">
        <v>1729</v>
      </c>
      <c r="AN104" t="s">
        <v>1730</v>
      </c>
      <c r="AO104" s="45">
        <v>582183</v>
      </c>
      <c r="AP104" s="46"/>
    </row>
    <row r="105" spans="15:42">
      <c r="O105" s="42"/>
      <c r="P105" s="42"/>
      <c r="AH105" s="45" t="s">
        <v>1731</v>
      </c>
      <c r="AI105" s="43" t="s">
        <v>1732</v>
      </c>
      <c r="AJ105" s="43" t="s">
        <v>1003</v>
      </c>
      <c r="AK105" s="43" t="s">
        <v>1732</v>
      </c>
      <c r="AN105" t="s">
        <v>1733</v>
      </c>
      <c r="AO105" s="45">
        <v>617121</v>
      </c>
      <c r="AP105" s="46"/>
    </row>
    <row r="106" spans="15:42">
      <c r="O106" s="42"/>
      <c r="P106" s="42"/>
      <c r="AH106" s="45" t="s">
        <v>1734</v>
      </c>
      <c r="AI106" s="43" t="s">
        <v>1735</v>
      </c>
      <c r="AJ106" s="43" t="s">
        <v>1003</v>
      </c>
      <c r="AK106" s="43" t="s">
        <v>1735</v>
      </c>
      <c r="AN106" t="s">
        <v>1736</v>
      </c>
      <c r="AO106" s="45">
        <v>607991</v>
      </c>
      <c r="AP106" s="46"/>
    </row>
    <row r="107" spans="15:42">
      <c r="O107" s="42"/>
      <c r="P107" s="42"/>
      <c r="AH107" s="45" t="s">
        <v>1737</v>
      </c>
      <c r="AI107" s="43" t="s">
        <v>1738</v>
      </c>
      <c r="AJ107" s="43" t="s">
        <v>1003</v>
      </c>
      <c r="AK107" s="43" t="s">
        <v>1738</v>
      </c>
      <c r="AN107" t="s">
        <v>1739</v>
      </c>
      <c r="AO107" s="45">
        <v>569914</v>
      </c>
      <c r="AP107" s="46"/>
    </row>
    <row r="108" spans="15:42">
      <c r="O108" s="42"/>
      <c r="P108" s="42"/>
      <c r="AH108" s="45" t="s">
        <v>1740</v>
      </c>
      <c r="AI108" s="43" t="s">
        <v>1741</v>
      </c>
      <c r="AJ108" s="43" t="s">
        <v>1003</v>
      </c>
      <c r="AK108" s="43" t="s">
        <v>1741</v>
      </c>
      <c r="AN108" t="s">
        <v>1742</v>
      </c>
      <c r="AO108" s="45">
        <v>569915</v>
      </c>
      <c r="AP108" s="46"/>
    </row>
    <row r="109" spans="15:42">
      <c r="O109" s="42"/>
      <c r="P109" s="42"/>
      <c r="AH109" s="45" t="s">
        <v>1743</v>
      </c>
      <c r="AI109" s="43" t="s">
        <v>1744</v>
      </c>
      <c r="AJ109" s="43" t="s">
        <v>1003</v>
      </c>
      <c r="AK109" s="43" t="s">
        <v>1744</v>
      </c>
      <c r="AN109" t="s">
        <v>1745</v>
      </c>
      <c r="AO109" s="45">
        <v>607992</v>
      </c>
      <c r="AP109" s="46"/>
    </row>
    <row r="110" spans="15:42">
      <c r="O110" s="42"/>
      <c r="P110" s="42"/>
      <c r="AH110" s="45" t="s">
        <v>1746</v>
      </c>
      <c r="AI110" s="43" t="s">
        <v>1747</v>
      </c>
      <c r="AJ110" s="43" t="s">
        <v>1003</v>
      </c>
      <c r="AK110" s="43" t="s">
        <v>1747</v>
      </c>
      <c r="AN110" t="s">
        <v>1748</v>
      </c>
      <c r="AO110" s="45">
        <v>569913</v>
      </c>
      <c r="AP110" s="46"/>
    </row>
    <row r="111" spans="15:42">
      <c r="O111" s="42"/>
      <c r="P111" s="42"/>
      <c r="AH111" s="45" t="s">
        <v>1749</v>
      </c>
      <c r="AI111" s="43" t="s">
        <v>1750</v>
      </c>
      <c r="AJ111" s="43" t="s">
        <v>1003</v>
      </c>
      <c r="AK111" s="43" t="s">
        <v>1750</v>
      </c>
      <c r="AN111" t="s">
        <v>1751</v>
      </c>
      <c r="AO111" s="45">
        <v>563882</v>
      </c>
      <c r="AP111" s="46"/>
    </row>
    <row r="112" spans="15:42">
      <c r="O112" s="42"/>
      <c r="P112" s="42"/>
      <c r="AH112" s="45" t="s">
        <v>1752</v>
      </c>
      <c r="AI112" s="43" t="s">
        <v>1753</v>
      </c>
      <c r="AJ112" s="43" t="s">
        <v>1003</v>
      </c>
      <c r="AK112" s="43" t="s">
        <v>1753</v>
      </c>
      <c r="AN112" t="s">
        <v>1754</v>
      </c>
      <c r="AO112" s="45">
        <v>617850</v>
      </c>
      <c r="AP112" s="46"/>
    </row>
    <row r="113" spans="15:42">
      <c r="O113" s="42"/>
      <c r="P113" s="42"/>
      <c r="AH113" s="45" t="s">
        <v>1755</v>
      </c>
      <c r="AI113" s="43" t="s">
        <v>1756</v>
      </c>
      <c r="AJ113" s="43" t="s">
        <v>1003</v>
      </c>
      <c r="AK113" s="43" t="s">
        <v>1756</v>
      </c>
      <c r="AN113" t="s">
        <v>1757</v>
      </c>
      <c r="AO113" s="45">
        <v>567717</v>
      </c>
      <c r="AP113" s="46"/>
    </row>
    <row r="114" spans="15:42">
      <c r="O114" s="42"/>
      <c r="P114" s="42"/>
      <c r="AH114" s="45" t="s">
        <v>1758</v>
      </c>
      <c r="AI114" s="43" t="s">
        <v>1759</v>
      </c>
      <c r="AJ114" s="43" t="s">
        <v>1003</v>
      </c>
      <c r="AK114" s="43" t="s">
        <v>1759</v>
      </c>
      <c r="AN114" t="s">
        <v>1760</v>
      </c>
      <c r="AO114" s="45">
        <v>567716</v>
      </c>
      <c r="AP114" s="46"/>
    </row>
    <row r="115" spans="15:42">
      <c r="O115" s="42"/>
      <c r="P115" s="42"/>
      <c r="AH115" s="45" t="s">
        <v>1761</v>
      </c>
      <c r="AI115" s="43" t="s">
        <v>1762</v>
      </c>
      <c r="AJ115" s="43" t="s">
        <v>1003</v>
      </c>
      <c r="AK115" s="43" t="s">
        <v>1762</v>
      </c>
      <c r="AN115" t="s">
        <v>1763</v>
      </c>
      <c r="AO115" s="45">
        <v>567715</v>
      </c>
      <c r="AP115" s="46"/>
    </row>
    <row r="116" spans="15:42">
      <c r="O116" s="42"/>
      <c r="P116" s="42"/>
      <c r="AH116" s="45" t="s">
        <v>1764</v>
      </c>
      <c r="AI116" s="43" t="s">
        <v>1765</v>
      </c>
      <c r="AJ116" s="43" t="s">
        <v>1003</v>
      </c>
      <c r="AK116" s="43" t="s">
        <v>1765</v>
      </c>
      <c r="AN116" t="s">
        <v>1766</v>
      </c>
      <c r="AO116" s="45">
        <v>567911</v>
      </c>
      <c r="AP116" s="46"/>
    </row>
    <row r="117" spans="15:42">
      <c r="O117" s="42"/>
      <c r="P117" s="42"/>
      <c r="AH117" s="45" t="s">
        <v>1767</v>
      </c>
      <c r="AI117" s="43" t="s">
        <v>1768</v>
      </c>
      <c r="AJ117" s="43" t="s">
        <v>1003</v>
      </c>
      <c r="AK117" s="43" t="s">
        <v>1768</v>
      </c>
      <c r="AN117" t="s">
        <v>1769</v>
      </c>
      <c r="AO117" s="45">
        <v>555615</v>
      </c>
      <c r="AP117" s="46"/>
    </row>
    <row r="118" spans="15:42">
      <c r="O118" s="42"/>
      <c r="P118" s="42"/>
      <c r="AH118" s="45" t="s">
        <v>1770</v>
      </c>
      <c r="AI118" s="43" t="s">
        <v>1771</v>
      </c>
      <c r="AJ118" s="43" t="s">
        <v>1003</v>
      </c>
      <c r="AK118" s="43" t="s">
        <v>1771</v>
      </c>
      <c r="AN118" t="s">
        <v>1772</v>
      </c>
      <c r="AO118" s="45">
        <v>555616</v>
      </c>
      <c r="AP118" s="46"/>
    </row>
    <row r="119" spans="15:42">
      <c r="O119" s="42"/>
      <c r="P119" s="42"/>
      <c r="AH119" s="45" t="s">
        <v>1773</v>
      </c>
      <c r="AI119" s="43" t="s">
        <v>1774</v>
      </c>
      <c r="AJ119" s="43" t="s">
        <v>1003</v>
      </c>
      <c r="AK119" s="43" t="s">
        <v>1774</v>
      </c>
      <c r="AN119" t="s">
        <v>1775</v>
      </c>
      <c r="AO119" s="45">
        <v>608017</v>
      </c>
      <c r="AP119" s="46"/>
    </row>
    <row r="120" spans="15:42">
      <c r="O120" s="42"/>
      <c r="P120" s="42"/>
      <c r="AH120" s="45" t="s">
        <v>1776</v>
      </c>
      <c r="AI120" s="43" t="s">
        <v>1777</v>
      </c>
      <c r="AJ120" s="43" t="s">
        <v>1003</v>
      </c>
      <c r="AK120" s="43" t="s">
        <v>1777</v>
      </c>
      <c r="AN120" t="s">
        <v>1778</v>
      </c>
      <c r="AO120" s="45">
        <v>566374</v>
      </c>
      <c r="AP120" s="46"/>
    </row>
    <row r="121" spans="15:42">
      <c r="O121" s="42"/>
      <c r="P121" s="42"/>
      <c r="AH121" s="45" t="s">
        <v>1779</v>
      </c>
      <c r="AI121" s="43" t="s">
        <v>1780</v>
      </c>
      <c r="AJ121" s="43" t="s">
        <v>1003</v>
      </c>
      <c r="AK121" s="43" t="s">
        <v>1780</v>
      </c>
      <c r="AN121" t="s">
        <v>1781</v>
      </c>
      <c r="AO121" s="45">
        <v>572575</v>
      </c>
      <c r="AP121" s="46"/>
    </row>
    <row r="122" spans="15:42">
      <c r="O122" s="42"/>
      <c r="P122" s="42"/>
      <c r="AH122" s="45" t="s">
        <v>1782</v>
      </c>
      <c r="AI122" s="43" t="s">
        <v>1783</v>
      </c>
      <c r="AJ122" s="43" t="s">
        <v>1003</v>
      </c>
      <c r="AK122" s="43" t="s">
        <v>1783</v>
      </c>
      <c r="AN122" t="s">
        <v>1784</v>
      </c>
      <c r="AO122" s="45">
        <v>553483</v>
      </c>
      <c r="AP122" s="46"/>
    </row>
    <row r="123" spans="15:42">
      <c r="O123" s="42"/>
      <c r="P123" s="42"/>
      <c r="AH123" s="45" t="s">
        <v>1785</v>
      </c>
      <c r="AI123" s="43" t="s">
        <v>1786</v>
      </c>
      <c r="AJ123" s="43" t="s">
        <v>1003</v>
      </c>
      <c r="AK123" s="43" t="s">
        <v>1786</v>
      </c>
      <c r="AN123" t="s">
        <v>1787</v>
      </c>
      <c r="AO123" s="45">
        <v>564506</v>
      </c>
      <c r="AP123" s="46"/>
    </row>
    <row r="124" spans="15:42">
      <c r="O124" s="42"/>
      <c r="P124" s="42"/>
      <c r="AH124" s="45" t="s">
        <v>1788</v>
      </c>
      <c r="AI124" s="43" t="s">
        <v>1789</v>
      </c>
      <c r="AJ124" s="43" t="s">
        <v>1003</v>
      </c>
      <c r="AK124" s="43" t="s">
        <v>1789</v>
      </c>
      <c r="AN124" t="s">
        <v>1790</v>
      </c>
      <c r="AO124" s="45">
        <v>480396</v>
      </c>
      <c r="AP124" s="46"/>
    </row>
    <row r="125" spans="15:42">
      <c r="O125" s="42"/>
      <c r="P125" s="42"/>
      <c r="AH125" s="45" t="s">
        <v>1791</v>
      </c>
      <c r="AI125" s="43" t="s">
        <v>1792</v>
      </c>
      <c r="AJ125" s="43" t="s">
        <v>1003</v>
      </c>
      <c r="AK125" s="43" t="s">
        <v>1792</v>
      </c>
      <c r="AN125" t="s">
        <v>1793</v>
      </c>
      <c r="AO125" s="45">
        <v>571282</v>
      </c>
      <c r="AP125" s="46"/>
    </row>
    <row r="126" spans="15:42">
      <c r="O126" s="42"/>
      <c r="P126" s="42"/>
      <c r="AH126" s="45" t="s">
        <v>1794</v>
      </c>
      <c r="AI126" s="43" t="s">
        <v>1795</v>
      </c>
      <c r="AJ126" s="43" t="s">
        <v>1003</v>
      </c>
      <c r="AK126" s="43" t="s">
        <v>1795</v>
      </c>
      <c r="AN126" t="s">
        <v>1796</v>
      </c>
      <c r="AO126" s="45">
        <v>567626</v>
      </c>
      <c r="AP126" s="46"/>
    </row>
    <row r="127" spans="15:42">
      <c r="O127" s="42"/>
      <c r="P127" s="42"/>
      <c r="AH127" s="45" t="s">
        <v>1797</v>
      </c>
      <c r="AI127" s="43" t="s">
        <v>1798</v>
      </c>
      <c r="AJ127" s="43" t="s">
        <v>1003</v>
      </c>
      <c r="AK127" s="43" t="s">
        <v>1798</v>
      </c>
      <c r="AN127" t="s">
        <v>1799</v>
      </c>
      <c r="AO127" s="45">
        <v>564638</v>
      </c>
      <c r="AP127" s="46"/>
    </row>
    <row r="128" spans="15:42">
      <c r="O128" s="42"/>
      <c r="P128" s="42"/>
      <c r="AH128" s="45" t="s">
        <v>1800</v>
      </c>
      <c r="AI128" s="43" t="s">
        <v>1801</v>
      </c>
      <c r="AJ128" s="43" t="s">
        <v>1003</v>
      </c>
      <c r="AK128" s="43" t="s">
        <v>1801</v>
      </c>
      <c r="AN128" t="s">
        <v>1802</v>
      </c>
      <c r="AO128" s="45">
        <v>607556</v>
      </c>
      <c r="AP128" s="46"/>
    </row>
    <row r="129" spans="15:42">
      <c r="O129" s="42"/>
      <c r="P129" s="42"/>
      <c r="AN129" t="s">
        <v>1803</v>
      </c>
      <c r="AO129" s="45">
        <v>566664</v>
      </c>
      <c r="AP129" s="46"/>
    </row>
    <row r="130" spans="15:42">
      <c r="O130" s="42"/>
      <c r="P130" s="42"/>
      <c r="AN130" t="s">
        <v>1804</v>
      </c>
      <c r="AO130" s="45">
        <v>500724</v>
      </c>
      <c r="AP130" s="46"/>
    </row>
    <row r="131" spans="15:42">
      <c r="O131" s="42"/>
      <c r="P131" s="42"/>
      <c r="AN131" t="s">
        <v>1805</v>
      </c>
      <c r="AO131" s="45">
        <v>564972</v>
      </c>
      <c r="AP131" s="46"/>
    </row>
    <row r="132" spans="15:42">
      <c r="O132" s="42"/>
      <c r="P132" s="42"/>
      <c r="AN132" t="s">
        <v>1806</v>
      </c>
      <c r="AO132" s="45">
        <v>566991</v>
      </c>
      <c r="AP132" s="46"/>
    </row>
    <row r="133" spans="15:42">
      <c r="O133" s="42"/>
      <c r="P133" s="42"/>
      <c r="AN133" t="s">
        <v>1807</v>
      </c>
      <c r="AO133" s="45">
        <v>567901</v>
      </c>
      <c r="AP133" s="46"/>
    </row>
    <row r="134" spans="15:42">
      <c r="O134" s="42"/>
      <c r="P134" s="42"/>
      <c r="AN134" t="s">
        <v>1808</v>
      </c>
      <c r="AO134" s="45">
        <v>568019</v>
      </c>
      <c r="AP134" s="46"/>
    </row>
    <row r="135" spans="15:42">
      <c r="O135" s="42"/>
      <c r="P135" s="42"/>
      <c r="AN135" t="s">
        <v>1809</v>
      </c>
      <c r="AO135" s="45">
        <v>611794</v>
      </c>
      <c r="AP135" s="46"/>
    </row>
    <row r="136" spans="15:42">
      <c r="O136" s="42"/>
      <c r="P136" s="42"/>
      <c r="AN136" t="s">
        <v>1810</v>
      </c>
      <c r="AO136" s="45">
        <v>608702</v>
      </c>
      <c r="AP136" s="46"/>
    </row>
    <row r="137" spans="15:42">
      <c r="O137" s="42"/>
      <c r="P137" s="42"/>
      <c r="AN137" t="s">
        <v>1811</v>
      </c>
      <c r="AO137" s="45">
        <v>480415</v>
      </c>
      <c r="AP137" s="46"/>
    </row>
    <row r="138" spans="15:42">
      <c r="O138" s="42"/>
      <c r="P138" s="42"/>
      <c r="AN138" t="s">
        <v>1812</v>
      </c>
      <c r="AO138" s="45">
        <v>607313</v>
      </c>
      <c r="AP138" s="46"/>
    </row>
    <row r="139" spans="15:42">
      <c r="O139" s="42"/>
      <c r="P139" s="42"/>
      <c r="AN139" t="s">
        <v>1813</v>
      </c>
      <c r="AO139" s="45">
        <v>273</v>
      </c>
      <c r="AP139" s="46"/>
    </row>
    <row r="140" spans="15:42">
      <c r="O140" s="42"/>
      <c r="P140" s="42"/>
      <c r="AN140" t="s">
        <v>1814</v>
      </c>
      <c r="AO140" s="45">
        <v>555617</v>
      </c>
      <c r="AP140" s="46"/>
    </row>
    <row r="141" spans="15:42">
      <c r="O141" s="42"/>
      <c r="P141" s="42"/>
      <c r="AN141" t="s">
        <v>1815</v>
      </c>
      <c r="AO141" s="45">
        <v>232</v>
      </c>
      <c r="AP141" s="46"/>
    </row>
    <row r="142" spans="15:42">
      <c r="O142" s="42"/>
      <c r="P142" s="42"/>
      <c r="AN142" t="s">
        <v>1816</v>
      </c>
      <c r="AO142" s="45">
        <v>566479</v>
      </c>
      <c r="AP142" s="46"/>
    </row>
    <row r="143" spans="15:42">
      <c r="O143" s="42"/>
      <c r="P143" s="42"/>
      <c r="AN143" t="s">
        <v>1817</v>
      </c>
      <c r="AO143" s="45">
        <v>608085</v>
      </c>
      <c r="AP143" s="46"/>
    </row>
    <row r="144" spans="15:42">
      <c r="O144" s="42"/>
      <c r="P144" s="42"/>
      <c r="AN144" t="s">
        <v>1818</v>
      </c>
      <c r="AO144" s="45">
        <v>572296</v>
      </c>
      <c r="AP144" s="46"/>
    </row>
    <row r="145" spans="15:42">
      <c r="O145" s="42"/>
      <c r="P145" s="42"/>
      <c r="AN145" t="s">
        <v>1819</v>
      </c>
      <c r="AO145" s="45">
        <v>617683</v>
      </c>
      <c r="AP145" s="46"/>
    </row>
    <row r="146" spans="15:42">
      <c r="O146" s="42"/>
      <c r="P146" s="42"/>
      <c r="AN146" t="s">
        <v>1820</v>
      </c>
      <c r="AO146" s="45">
        <v>556762</v>
      </c>
      <c r="AP146" s="46"/>
    </row>
    <row r="147" spans="15:42">
      <c r="O147" s="42"/>
      <c r="P147" s="42"/>
      <c r="AN147" t="s">
        <v>1821</v>
      </c>
      <c r="AO147" s="45">
        <v>607888</v>
      </c>
      <c r="AP147" s="46"/>
    </row>
    <row r="148" spans="15:42">
      <c r="O148" s="42"/>
      <c r="P148" s="42"/>
      <c r="AN148" t="s">
        <v>1822</v>
      </c>
      <c r="AO148" s="45">
        <v>556752</v>
      </c>
      <c r="AP148" s="46"/>
    </row>
    <row r="149" spans="15:42">
      <c r="O149" s="42"/>
      <c r="P149" s="42"/>
      <c r="AN149" t="s">
        <v>1823</v>
      </c>
      <c r="AO149" s="45">
        <v>563888</v>
      </c>
      <c r="AP149" s="46"/>
    </row>
    <row r="150" spans="15:42">
      <c r="O150" s="42"/>
      <c r="P150" s="42"/>
      <c r="AN150" t="s">
        <v>1824</v>
      </c>
      <c r="AO150" s="45">
        <v>569361</v>
      </c>
      <c r="AP150" s="46"/>
    </row>
    <row r="151" spans="15:42">
      <c r="O151" s="42"/>
      <c r="P151" s="42"/>
      <c r="AN151" t="s">
        <v>1825</v>
      </c>
      <c r="AO151" s="45">
        <v>573013</v>
      </c>
      <c r="AP151" s="46"/>
    </row>
    <row r="152" spans="15:42">
      <c r="O152" s="42"/>
      <c r="P152" s="42"/>
      <c r="AN152" t="s">
        <v>1826</v>
      </c>
      <c r="AO152" s="45">
        <v>553496</v>
      </c>
      <c r="AP152" s="46"/>
    </row>
    <row r="153" spans="15:42">
      <c r="O153" s="42"/>
      <c r="P153" s="42"/>
      <c r="AN153" t="s">
        <v>1827</v>
      </c>
      <c r="AO153" s="45">
        <v>618342</v>
      </c>
      <c r="AP153" s="46"/>
    </row>
    <row r="154" spans="15:42">
      <c r="O154" s="42"/>
      <c r="P154" s="42"/>
      <c r="AN154" t="s">
        <v>1828</v>
      </c>
      <c r="AO154" s="45">
        <v>566587</v>
      </c>
      <c r="AP154" s="46"/>
    </row>
    <row r="155" spans="15:42">
      <c r="O155" s="42"/>
      <c r="P155" s="42"/>
      <c r="AN155" t="s">
        <v>1829</v>
      </c>
      <c r="AO155" s="45">
        <v>567349</v>
      </c>
      <c r="AP155" s="46"/>
    </row>
    <row r="156" spans="15:42">
      <c r="O156" s="42"/>
      <c r="P156" s="42"/>
      <c r="AN156" t="s">
        <v>1830</v>
      </c>
      <c r="AO156" s="45">
        <v>566421</v>
      </c>
      <c r="AP156" s="46"/>
    </row>
    <row r="157" spans="15:42">
      <c r="O157" s="42"/>
      <c r="P157" s="42"/>
      <c r="AN157" t="s">
        <v>1831</v>
      </c>
      <c r="AO157" s="45">
        <v>567689</v>
      </c>
      <c r="AP157" s="46"/>
    </row>
    <row r="158" spans="15:42">
      <c r="O158" s="42"/>
      <c r="P158" s="42"/>
      <c r="AN158" t="s">
        <v>1832</v>
      </c>
      <c r="AO158" s="45">
        <v>567472</v>
      </c>
      <c r="AP158" s="46"/>
    </row>
    <row r="159" spans="15:42">
      <c r="O159" s="42"/>
      <c r="P159" s="42"/>
      <c r="AN159" t="s">
        <v>1833</v>
      </c>
      <c r="AO159" s="45">
        <v>607661</v>
      </c>
      <c r="AP159" s="46"/>
    </row>
    <row r="160" spans="15:42">
      <c r="O160" s="42"/>
      <c r="P160" s="42"/>
      <c r="AN160" t="s">
        <v>1834</v>
      </c>
      <c r="AO160" s="45">
        <v>617044</v>
      </c>
      <c r="AP160" s="46"/>
    </row>
    <row r="161" spans="15:42">
      <c r="O161" s="42"/>
      <c r="P161" s="42"/>
      <c r="AN161" t="s">
        <v>1835</v>
      </c>
      <c r="AO161" s="45">
        <v>611395</v>
      </c>
      <c r="AP161" s="46"/>
    </row>
    <row r="162" spans="15:42">
      <c r="O162" s="42"/>
      <c r="P162" s="42"/>
      <c r="AN162" t="s">
        <v>1836</v>
      </c>
      <c r="AO162" s="45">
        <v>570018</v>
      </c>
      <c r="AP162" s="46"/>
    </row>
    <row r="163" spans="15:42">
      <c r="O163" s="42"/>
      <c r="P163" s="42"/>
      <c r="AN163" t="s">
        <v>1837</v>
      </c>
      <c r="AO163" s="45">
        <v>618486</v>
      </c>
      <c r="AP163" s="46"/>
    </row>
    <row r="164" spans="15:42">
      <c r="O164" s="42"/>
      <c r="P164" s="42"/>
      <c r="AN164" t="s">
        <v>1838</v>
      </c>
      <c r="AO164" s="45">
        <v>618479</v>
      </c>
      <c r="AP164" s="46"/>
    </row>
    <row r="165" spans="15:42">
      <c r="O165" s="42"/>
      <c r="P165" s="42"/>
      <c r="AN165" t="s">
        <v>1839</v>
      </c>
      <c r="AO165" s="45">
        <v>589406</v>
      </c>
      <c r="AP165" s="46"/>
    </row>
    <row r="166" spans="15:42">
      <c r="O166" s="42"/>
      <c r="P166" s="42"/>
      <c r="AN166" t="s">
        <v>1840</v>
      </c>
      <c r="AO166" s="45">
        <v>617135</v>
      </c>
      <c r="AP166" s="46"/>
    </row>
    <row r="167" spans="15:42">
      <c r="O167" s="42"/>
      <c r="P167" s="42"/>
      <c r="AN167" t="s">
        <v>1841</v>
      </c>
      <c r="AO167" s="45">
        <v>569444</v>
      </c>
      <c r="AP167" s="46"/>
    </row>
    <row r="168" spans="15:42">
      <c r="O168" s="42"/>
      <c r="P168" s="42"/>
      <c r="AN168" t="s">
        <v>1842</v>
      </c>
      <c r="AO168" s="45">
        <v>569911</v>
      </c>
      <c r="AP168" s="46"/>
    </row>
    <row r="169" spans="15:42">
      <c r="O169" s="42"/>
      <c r="P169" s="42"/>
      <c r="AN169" t="s">
        <v>1843</v>
      </c>
      <c r="AO169" s="45">
        <v>556498</v>
      </c>
      <c r="AP169" s="46"/>
    </row>
    <row r="170" spans="15:42">
      <c r="O170" s="42"/>
      <c r="P170" s="42"/>
      <c r="AN170" t="s">
        <v>1844</v>
      </c>
      <c r="AO170" s="45">
        <v>555662</v>
      </c>
      <c r="AP170" s="46"/>
    </row>
    <row r="171" spans="15:42">
      <c r="O171" s="42"/>
      <c r="P171" s="42"/>
      <c r="AN171" t="s">
        <v>1845</v>
      </c>
      <c r="AO171" s="45">
        <v>467305</v>
      </c>
      <c r="AP171" s="46"/>
    </row>
    <row r="172" spans="15:42">
      <c r="O172" s="42"/>
      <c r="P172" s="42"/>
      <c r="AN172" t="s">
        <v>1846</v>
      </c>
      <c r="AO172" s="45">
        <v>553640</v>
      </c>
      <c r="AP172" s="46"/>
    </row>
    <row r="173" spans="15:42">
      <c r="O173" s="42"/>
      <c r="P173" s="42"/>
      <c r="AN173" t="s">
        <v>1847</v>
      </c>
      <c r="AO173" s="45">
        <v>553650</v>
      </c>
      <c r="AP173" s="46"/>
    </row>
    <row r="174" spans="15:42">
      <c r="O174" s="42"/>
      <c r="P174" s="42"/>
      <c r="AN174" t="s">
        <v>1848</v>
      </c>
      <c r="AO174" s="45">
        <v>307</v>
      </c>
      <c r="AP174" s="46"/>
    </row>
    <row r="175" spans="15:42">
      <c r="O175" s="42"/>
      <c r="P175" s="42"/>
      <c r="AN175" t="s">
        <v>1849</v>
      </c>
      <c r="AO175" s="45">
        <v>569934</v>
      </c>
      <c r="AP175" s="46"/>
    </row>
    <row r="176" spans="15:42">
      <c r="O176" s="42"/>
      <c r="P176" s="42"/>
      <c r="AN176" t="s">
        <v>1850</v>
      </c>
      <c r="AO176" s="45">
        <v>569935</v>
      </c>
      <c r="AP176" s="46"/>
    </row>
    <row r="177" spans="15:42">
      <c r="O177" s="42"/>
      <c r="P177" s="42"/>
      <c r="AN177" t="s">
        <v>1851</v>
      </c>
      <c r="AO177" s="45">
        <v>223</v>
      </c>
      <c r="AP177" s="46"/>
    </row>
    <row r="178" spans="15:42">
      <c r="O178" s="42"/>
      <c r="P178" s="42"/>
      <c r="AN178" t="s">
        <v>1852</v>
      </c>
      <c r="AO178" s="45">
        <v>615183</v>
      </c>
      <c r="AP178" s="46"/>
    </row>
    <row r="179" spans="15:42">
      <c r="O179" s="42"/>
      <c r="P179" s="42"/>
      <c r="AN179" t="s">
        <v>1853</v>
      </c>
      <c r="AO179" s="45">
        <v>567419</v>
      </c>
      <c r="AP179" s="46"/>
    </row>
    <row r="180" spans="15:42">
      <c r="O180" s="42"/>
      <c r="P180" s="42"/>
      <c r="AN180" t="s">
        <v>1854</v>
      </c>
      <c r="AO180" s="45">
        <v>556732</v>
      </c>
      <c r="AP180" s="46"/>
    </row>
    <row r="181" spans="15:42">
      <c r="O181" s="42"/>
      <c r="P181" s="42"/>
      <c r="AN181" t="s">
        <v>1855</v>
      </c>
      <c r="AO181" s="45">
        <v>615825</v>
      </c>
      <c r="AP181" s="46"/>
    </row>
    <row r="182" spans="15:42">
      <c r="O182" s="42"/>
      <c r="P182" s="42"/>
      <c r="AN182" t="s">
        <v>1856</v>
      </c>
      <c r="AO182" s="45">
        <v>477758</v>
      </c>
      <c r="AP182" s="46"/>
    </row>
    <row r="183" spans="15:42">
      <c r="O183" s="42"/>
      <c r="P183" s="42"/>
      <c r="AN183" t="s">
        <v>1857</v>
      </c>
      <c r="AO183" s="45">
        <v>608463</v>
      </c>
      <c r="AP183" s="46"/>
    </row>
    <row r="184" spans="15:42">
      <c r="O184" s="42"/>
      <c r="P184" s="42"/>
      <c r="AN184" t="s">
        <v>1858</v>
      </c>
      <c r="AO184" s="45">
        <v>608016</v>
      </c>
      <c r="AP184" s="46"/>
    </row>
    <row r="185" spans="15:42">
      <c r="O185" s="42"/>
      <c r="P185" s="42"/>
      <c r="AN185" t="s">
        <v>1859</v>
      </c>
      <c r="AO185" s="45">
        <v>608014</v>
      </c>
      <c r="AP185" s="46"/>
    </row>
    <row r="186" spans="15:42">
      <c r="O186" s="42"/>
      <c r="P186" s="42"/>
      <c r="AN186" t="s">
        <v>1860</v>
      </c>
      <c r="AO186" s="45">
        <v>619127</v>
      </c>
      <c r="AP186" s="46"/>
    </row>
    <row r="187" spans="15:42">
      <c r="O187" s="42"/>
      <c r="P187" s="42"/>
      <c r="AN187" t="s">
        <v>1861</v>
      </c>
      <c r="AO187" s="45">
        <v>567473</v>
      </c>
      <c r="AP187" s="46"/>
    </row>
    <row r="188" spans="15:42">
      <c r="O188" s="42"/>
      <c r="P188" s="42"/>
      <c r="AN188" t="s">
        <v>1862</v>
      </c>
      <c r="AO188" s="45">
        <v>567350</v>
      </c>
      <c r="AP188" s="46"/>
    </row>
    <row r="189" spans="15:42">
      <c r="O189" s="42"/>
      <c r="P189" s="42"/>
      <c r="AN189" t="s">
        <v>1863</v>
      </c>
      <c r="AO189" s="45">
        <v>611326</v>
      </c>
      <c r="AP189" s="46"/>
    </row>
    <row r="190" spans="15:42">
      <c r="O190" s="42"/>
      <c r="P190" s="42"/>
      <c r="AN190" t="s">
        <v>1864</v>
      </c>
      <c r="AO190" s="45">
        <v>606946</v>
      </c>
      <c r="AP190" s="46"/>
    </row>
    <row r="191" spans="15:42">
      <c r="O191" s="42"/>
      <c r="P191" s="42"/>
      <c r="AN191" t="s">
        <v>1865</v>
      </c>
      <c r="AO191" s="45">
        <v>609104</v>
      </c>
      <c r="AP191" s="46"/>
    </row>
    <row r="192" spans="15:42">
      <c r="O192" s="42"/>
      <c r="P192" s="42"/>
      <c r="AN192" t="s">
        <v>1866</v>
      </c>
      <c r="AO192" s="45">
        <v>563487</v>
      </c>
      <c r="AP192" s="46"/>
    </row>
    <row r="193" spans="15:42">
      <c r="O193" s="42"/>
      <c r="P193" s="42"/>
      <c r="AN193" t="s">
        <v>1867</v>
      </c>
      <c r="AO193" s="45">
        <v>196</v>
      </c>
      <c r="AP193" s="46"/>
    </row>
    <row r="194" spans="15:42">
      <c r="O194" s="42"/>
      <c r="P194" s="42"/>
      <c r="AN194" t="s">
        <v>1868</v>
      </c>
      <c r="AO194" s="45">
        <v>612644</v>
      </c>
      <c r="AP194" s="46"/>
    </row>
    <row r="195" spans="15:42">
      <c r="O195" s="42"/>
      <c r="P195" s="42"/>
      <c r="AN195" t="s">
        <v>1869</v>
      </c>
      <c r="AO195" s="45">
        <v>544631</v>
      </c>
      <c r="AP195" s="46"/>
    </row>
    <row r="196" spans="15:42">
      <c r="O196" s="42"/>
      <c r="P196" s="42"/>
      <c r="AN196" t="s">
        <v>1870</v>
      </c>
      <c r="AO196" s="45">
        <v>410998</v>
      </c>
      <c r="AP196" s="46"/>
    </row>
    <row r="197" spans="15:42">
      <c r="O197" s="42"/>
      <c r="P197" s="42"/>
      <c r="AN197" t="s">
        <v>1871</v>
      </c>
      <c r="AO197" s="45">
        <v>303</v>
      </c>
      <c r="AP197" s="46"/>
    </row>
    <row r="198" spans="15:42">
      <c r="O198" s="42"/>
      <c r="P198" s="42"/>
      <c r="AN198" t="s">
        <v>1872</v>
      </c>
      <c r="AO198" s="45">
        <v>417706</v>
      </c>
      <c r="AP198" s="46"/>
    </row>
    <row r="199" spans="15:42">
      <c r="O199" s="42"/>
      <c r="P199" s="42"/>
      <c r="AN199" t="s">
        <v>1873</v>
      </c>
      <c r="AO199" s="45">
        <v>615785</v>
      </c>
      <c r="AP199" s="46"/>
    </row>
    <row r="200" spans="15:42">
      <c r="O200" s="42"/>
      <c r="P200" s="42"/>
      <c r="AN200" t="s">
        <v>1874</v>
      </c>
      <c r="AO200" s="45">
        <v>556381</v>
      </c>
      <c r="AP200" s="46"/>
    </row>
    <row r="201" spans="15:42">
      <c r="O201" s="42"/>
      <c r="P201" s="42"/>
      <c r="AN201" t="s">
        <v>1875</v>
      </c>
      <c r="AO201" s="45">
        <v>553474</v>
      </c>
      <c r="AP201" s="46"/>
    </row>
    <row r="202" spans="15:42">
      <c r="O202" s="42"/>
      <c r="P202" s="42"/>
      <c r="AN202" t="s">
        <v>1876</v>
      </c>
      <c r="AO202" s="45">
        <v>616903</v>
      </c>
      <c r="AP202" s="46"/>
    </row>
    <row r="203" spans="15:42">
      <c r="O203" s="42"/>
      <c r="P203" s="42"/>
      <c r="AN203" t="s">
        <v>1877</v>
      </c>
      <c r="AO203" s="45">
        <v>557773</v>
      </c>
      <c r="AP203" s="46"/>
    </row>
    <row r="204" spans="15:42">
      <c r="O204" s="42"/>
      <c r="P204" s="42"/>
      <c r="AN204" t="s">
        <v>1878</v>
      </c>
      <c r="AO204" s="45">
        <v>572307</v>
      </c>
      <c r="AP204" s="46"/>
    </row>
    <row r="205" spans="15:42">
      <c r="O205" s="42"/>
      <c r="P205" s="42"/>
      <c r="AN205" t="s">
        <v>1879</v>
      </c>
      <c r="AO205" s="45">
        <v>607979</v>
      </c>
      <c r="AP205" s="46"/>
    </row>
    <row r="206" spans="15:42">
      <c r="O206" s="42"/>
      <c r="P206" s="42"/>
      <c r="AN206" t="s">
        <v>1880</v>
      </c>
      <c r="AO206" s="45">
        <v>567045</v>
      </c>
      <c r="AP206" s="46"/>
    </row>
    <row r="207" spans="15:42">
      <c r="O207" s="42"/>
      <c r="P207" s="42"/>
      <c r="AN207" t="s">
        <v>1881</v>
      </c>
      <c r="AO207" s="45">
        <v>572114</v>
      </c>
      <c r="AP207" s="46"/>
    </row>
    <row r="208" spans="15:42">
      <c r="O208" s="42"/>
      <c r="P208" s="42"/>
      <c r="AN208" t="s">
        <v>1882</v>
      </c>
      <c r="AO208" s="45">
        <v>618485</v>
      </c>
      <c r="AP208" s="46"/>
    </row>
    <row r="209" spans="15:42">
      <c r="O209" s="42"/>
      <c r="P209" s="42"/>
      <c r="AN209" t="s">
        <v>1883</v>
      </c>
      <c r="AO209" s="45">
        <v>555785</v>
      </c>
      <c r="AP209" s="46"/>
    </row>
    <row r="210" spans="15:42">
      <c r="O210" s="42"/>
      <c r="P210" s="42"/>
      <c r="AN210" t="s">
        <v>1884</v>
      </c>
      <c r="AO210" s="45">
        <v>339070</v>
      </c>
      <c r="AP210" s="46"/>
    </row>
    <row r="211" spans="15:42">
      <c r="O211" s="42"/>
      <c r="P211" s="42"/>
      <c r="AN211" t="s">
        <v>1885</v>
      </c>
      <c r="AO211" s="45">
        <v>553660</v>
      </c>
      <c r="AP211" s="46"/>
    </row>
    <row r="212" spans="15:42">
      <c r="O212" s="42"/>
      <c r="P212" s="42"/>
      <c r="AN212" t="s">
        <v>1886</v>
      </c>
      <c r="AO212" s="45">
        <v>557164</v>
      </c>
      <c r="AP212" s="46"/>
    </row>
    <row r="213" spans="15:42">
      <c r="O213" s="42"/>
      <c r="P213" s="42"/>
      <c r="AN213" t="s">
        <v>1887</v>
      </c>
      <c r="AO213" s="45">
        <v>557163</v>
      </c>
      <c r="AP213" s="46"/>
    </row>
    <row r="214" spans="15:42">
      <c r="O214" s="42"/>
      <c r="P214" s="42"/>
      <c r="AN214" t="s">
        <v>1888</v>
      </c>
      <c r="AO214" s="45">
        <v>555660</v>
      </c>
      <c r="AP214" s="46"/>
    </row>
    <row r="215" spans="15:42">
      <c r="O215" s="42"/>
      <c r="P215" s="42"/>
      <c r="AN215" t="s">
        <v>1889</v>
      </c>
      <c r="AO215" s="45">
        <v>572162</v>
      </c>
      <c r="AP215" s="46"/>
    </row>
    <row r="216" spans="15:42">
      <c r="O216" s="42"/>
      <c r="P216" s="42"/>
      <c r="AN216" t="s">
        <v>1890</v>
      </c>
      <c r="AO216" s="45">
        <v>556770</v>
      </c>
      <c r="AP216" s="46"/>
    </row>
    <row r="217" spans="15:42">
      <c r="O217" s="42"/>
      <c r="P217" s="42"/>
      <c r="AN217" t="s">
        <v>1891</v>
      </c>
      <c r="AO217" s="45">
        <v>556769</v>
      </c>
      <c r="AP217" s="46"/>
    </row>
    <row r="218" spans="15:42">
      <c r="O218" s="42"/>
      <c r="P218" s="42"/>
      <c r="AN218" t="s">
        <v>1892</v>
      </c>
      <c r="AO218" s="45">
        <v>479618</v>
      </c>
      <c r="AP218" s="46"/>
    </row>
    <row r="219" spans="15:42">
      <c r="O219" s="42"/>
      <c r="P219" s="42"/>
      <c r="AN219" t="s">
        <v>1893</v>
      </c>
      <c r="AO219" s="45">
        <v>555973</v>
      </c>
      <c r="AP219" s="46"/>
    </row>
    <row r="220" spans="15:42">
      <c r="O220" s="42"/>
      <c r="P220" s="42"/>
      <c r="AN220" t="s">
        <v>1894</v>
      </c>
      <c r="AO220" s="45">
        <v>555972</v>
      </c>
      <c r="AP220" s="46"/>
    </row>
    <row r="221" spans="15:42">
      <c r="O221" s="42"/>
      <c r="P221" s="42"/>
      <c r="AN221" t="s">
        <v>1895</v>
      </c>
      <c r="AO221" s="45">
        <v>556016</v>
      </c>
      <c r="AP221" s="46"/>
    </row>
    <row r="222" spans="15:42">
      <c r="O222" s="42"/>
      <c r="P222" s="42"/>
      <c r="AN222" t="s">
        <v>1896</v>
      </c>
      <c r="AO222" s="45">
        <v>609076</v>
      </c>
      <c r="AP222" s="46"/>
    </row>
    <row r="223" spans="15:42">
      <c r="O223" s="42"/>
      <c r="P223" s="42"/>
      <c r="AN223" t="s">
        <v>1897</v>
      </c>
      <c r="AO223" s="45">
        <v>606994</v>
      </c>
      <c r="AP223" s="46"/>
    </row>
    <row r="224" spans="15:42">
      <c r="O224" s="42"/>
      <c r="P224" s="42"/>
      <c r="AN224" t="s">
        <v>1898</v>
      </c>
      <c r="AO224" s="45">
        <v>572303</v>
      </c>
      <c r="AP224" s="46"/>
    </row>
    <row r="225" spans="15:42">
      <c r="O225" s="42"/>
      <c r="P225" s="42"/>
      <c r="AN225" t="s">
        <v>1899</v>
      </c>
      <c r="AO225" s="45">
        <v>564025</v>
      </c>
      <c r="AP225" s="46"/>
    </row>
    <row r="226" spans="15:42">
      <c r="O226" s="42"/>
      <c r="P226" s="42"/>
      <c r="AN226" t="s">
        <v>1900</v>
      </c>
      <c r="AO226" s="45">
        <v>556403</v>
      </c>
      <c r="AP226" s="46"/>
    </row>
    <row r="227" spans="15:42">
      <c r="O227" s="42"/>
      <c r="P227" s="42"/>
      <c r="AN227" t="s">
        <v>1901</v>
      </c>
      <c r="AO227" s="45">
        <v>567610</v>
      </c>
      <c r="AP227" s="46"/>
    </row>
    <row r="228" spans="15:42">
      <c r="O228" s="42"/>
      <c r="P228" s="42"/>
      <c r="AN228" t="s">
        <v>1902</v>
      </c>
      <c r="AO228" s="45">
        <v>317220</v>
      </c>
      <c r="AP228" s="46"/>
    </row>
    <row r="229" spans="15:42">
      <c r="O229" s="42"/>
      <c r="P229" s="42"/>
      <c r="AN229" t="s">
        <v>1903</v>
      </c>
      <c r="AO229" s="45">
        <v>556213</v>
      </c>
      <c r="AP229" s="46"/>
    </row>
    <row r="230" spans="15:42">
      <c r="AN230" t="s">
        <v>1904</v>
      </c>
      <c r="AO230" s="45">
        <v>417707</v>
      </c>
      <c r="AP230" s="46"/>
    </row>
    <row r="231" spans="15:42">
      <c r="AN231" t="s">
        <v>1905</v>
      </c>
      <c r="AO231" s="45">
        <v>564257</v>
      </c>
      <c r="AP231" s="46"/>
    </row>
    <row r="232" spans="15:42">
      <c r="AN232" t="s">
        <v>1906</v>
      </c>
      <c r="AO232" s="45">
        <v>564258</v>
      </c>
      <c r="AP232" s="46"/>
    </row>
    <row r="233" spans="15:42">
      <c r="AN233" t="s">
        <v>1907</v>
      </c>
      <c r="AO233" s="45">
        <v>568055</v>
      </c>
      <c r="AP233" s="46"/>
    </row>
    <row r="234" spans="15:42">
      <c r="AN234" t="s">
        <v>1908</v>
      </c>
      <c r="AO234" s="45">
        <v>556294</v>
      </c>
      <c r="AP234" s="46"/>
    </row>
    <row r="235" spans="15:42">
      <c r="AN235" t="s">
        <v>1909</v>
      </c>
      <c r="AO235" s="45">
        <v>396792</v>
      </c>
      <c r="AP235" s="46"/>
    </row>
    <row r="236" spans="15:42">
      <c r="AN236" t="s">
        <v>1910</v>
      </c>
      <c r="AO236" s="45">
        <v>606957</v>
      </c>
      <c r="AP236" s="46"/>
    </row>
    <row r="237" spans="15:42">
      <c r="AN237" t="s">
        <v>1911</v>
      </c>
      <c r="AO237" s="45">
        <v>572297</v>
      </c>
      <c r="AP237" s="46"/>
    </row>
    <row r="238" spans="15:42">
      <c r="AN238" t="s">
        <v>1912</v>
      </c>
      <c r="AO238" s="45">
        <v>556108</v>
      </c>
      <c r="AP238" s="46"/>
    </row>
    <row r="239" spans="15:42">
      <c r="AN239" t="s">
        <v>1913</v>
      </c>
      <c r="AO239" s="45">
        <v>608486</v>
      </c>
      <c r="AP239" s="46"/>
    </row>
    <row r="240" spans="15:42">
      <c r="AN240" t="s">
        <v>1914</v>
      </c>
      <c r="AO240" s="45">
        <v>572561</v>
      </c>
      <c r="AP240" s="46"/>
    </row>
    <row r="241" spans="15:42">
      <c r="AN241" t="s">
        <v>1915</v>
      </c>
      <c r="AO241" s="45">
        <v>572311</v>
      </c>
      <c r="AP241" s="46"/>
    </row>
    <row r="242" spans="15:42">
      <c r="AN242" t="s">
        <v>1916</v>
      </c>
      <c r="AO242" s="45">
        <v>572310</v>
      </c>
      <c r="AP242" s="46"/>
    </row>
    <row r="243" spans="15:42">
      <c r="AN243" t="s">
        <v>1917</v>
      </c>
      <c r="AO243" s="45">
        <v>572309</v>
      </c>
      <c r="AP243" s="46"/>
    </row>
    <row r="244" spans="15:42">
      <c r="AN244" t="s">
        <v>1918</v>
      </c>
      <c r="AO244" s="45">
        <v>618876</v>
      </c>
      <c r="AP244" s="46"/>
    </row>
    <row r="245" spans="15:42">
      <c r="AN245" t="s">
        <v>1919</v>
      </c>
      <c r="AO245" s="45">
        <v>606834</v>
      </c>
      <c r="AP245" s="46"/>
    </row>
    <row r="246" spans="15:42">
      <c r="AN246" t="s">
        <v>1920</v>
      </c>
      <c r="AO246" s="45">
        <v>619128</v>
      </c>
      <c r="AP246" s="46"/>
    </row>
    <row r="247" spans="15:42">
      <c r="AN247" t="s">
        <v>1921</v>
      </c>
      <c r="AO247" s="45">
        <v>619129</v>
      </c>
      <c r="AP247" s="46"/>
    </row>
    <row r="248" spans="15:42">
      <c r="AN248" t="s">
        <v>1922</v>
      </c>
      <c r="AO248" s="45">
        <v>564294</v>
      </c>
      <c r="AP248" s="46"/>
    </row>
    <row r="249" spans="15:42">
      <c r="AN249" t="s">
        <v>1923</v>
      </c>
      <c r="AO249" s="45">
        <v>555318</v>
      </c>
      <c r="AP249" s="46"/>
    </row>
    <row r="250" spans="15:42">
      <c r="AN250" t="s">
        <v>1924</v>
      </c>
      <c r="AO250" s="45">
        <v>618046</v>
      </c>
      <c r="AP250" s="46"/>
    </row>
    <row r="251" spans="15:42">
      <c r="AN251" t="s">
        <v>1925</v>
      </c>
      <c r="AO251" s="45">
        <v>618045</v>
      </c>
      <c r="AP251" s="46"/>
    </row>
    <row r="252" spans="15:42">
      <c r="AN252" t="s">
        <v>1926</v>
      </c>
      <c r="AO252" s="45">
        <v>557811</v>
      </c>
      <c r="AP252" s="46"/>
    </row>
    <row r="253" spans="15:42">
      <c r="AN253" t="s">
        <v>1927</v>
      </c>
      <c r="AO253" s="45">
        <v>565912</v>
      </c>
      <c r="AP253" s="46"/>
    </row>
    <row r="254" spans="15:42">
      <c r="O254" s="52"/>
      <c r="AN254" t="s">
        <v>1928</v>
      </c>
      <c r="AO254" s="45">
        <v>417709</v>
      </c>
      <c r="AP254" s="46"/>
    </row>
    <row r="255" spans="15:42">
      <c r="AN255" t="s">
        <v>1929</v>
      </c>
      <c r="AO255" s="45">
        <v>479621</v>
      </c>
      <c r="AP255" s="46"/>
    </row>
    <row r="256" spans="15:42">
      <c r="AN256" t="s">
        <v>1930</v>
      </c>
      <c r="AO256" s="45">
        <v>383492</v>
      </c>
      <c r="AP256" s="46"/>
    </row>
    <row r="257" spans="40:42">
      <c r="AN257" t="s">
        <v>1931</v>
      </c>
      <c r="AO257" s="45">
        <v>572960</v>
      </c>
      <c r="AP257" s="46"/>
    </row>
    <row r="258" spans="40:42">
      <c r="AN258" t="s">
        <v>1932</v>
      </c>
      <c r="AO258" s="45">
        <v>572942</v>
      </c>
      <c r="AP258" s="46"/>
    </row>
    <row r="259" spans="40:42">
      <c r="AN259" t="s">
        <v>1933</v>
      </c>
      <c r="AO259" s="45">
        <v>572941</v>
      </c>
      <c r="AP259" s="46"/>
    </row>
    <row r="260" spans="40:42">
      <c r="AN260" t="s">
        <v>1934</v>
      </c>
      <c r="AO260" s="45">
        <v>572943</v>
      </c>
      <c r="AP260" s="46"/>
    </row>
    <row r="261" spans="40:42">
      <c r="AN261" t="s">
        <v>1935</v>
      </c>
      <c r="AO261" s="45">
        <v>83</v>
      </c>
      <c r="AP261" s="46"/>
    </row>
    <row r="262" spans="40:42">
      <c r="AN262" t="s">
        <v>1936</v>
      </c>
      <c r="AO262" s="45">
        <v>569907</v>
      </c>
      <c r="AP262" s="46"/>
    </row>
    <row r="263" spans="40:42">
      <c r="AN263" t="s">
        <v>1937</v>
      </c>
      <c r="AO263" s="45">
        <v>606741</v>
      </c>
      <c r="AP263" s="46"/>
    </row>
    <row r="264" spans="40:42">
      <c r="AN264" t="s">
        <v>1938</v>
      </c>
      <c r="AO264" s="45">
        <v>568152</v>
      </c>
      <c r="AP264" s="46"/>
    </row>
    <row r="265" spans="40:42">
      <c r="AN265" t="s">
        <v>1939</v>
      </c>
      <c r="AO265" s="45">
        <v>240</v>
      </c>
      <c r="AP265" s="46"/>
    </row>
    <row r="266" spans="40:42">
      <c r="AN266" t="s">
        <v>1940</v>
      </c>
      <c r="AO266" s="45">
        <v>615388</v>
      </c>
      <c r="AP266" s="46"/>
    </row>
    <row r="267" spans="40:42">
      <c r="AN267" t="s">
        <v>1941</v>
      </c>
      <c r="AO267" s="45">
        <v>557272</v>
      </c>
      <c r="AP267" s="46"/>
    </row>
    <row r="268" spans="40:42">
      <c r="AN268" t="s">
        <v>1942</v>
      </c>
      <c r="AO268" s="45">
        <v>557750</v>
      </c>
      <c r="AP268" s="46"/>
    </row>
    <row r="269" spans="40:42">
      <c r="AN269" t="s">
        <v>1943</v>
      </c>
      <c r="AO269" s="45">
        <v>557270</v>
      </c>
      <c r="AP269" s="46"/>
    </row>
    <row r="270" spans="40:42">
      <c r="AN270" t="s">
        <v>1944</v>
      </c>
      <c r="AO270" s="45">
        <v>557732</v>
      </c>
      <c r="AP270" s="46"/>
    </row>
    <row r="271" spans="40:42">
      <c r="AN271" t="s">
        <v>1945</v>
      </c>
      <c r="AO271" s="45">
        <v>580175</v>
      </c>
      <c r="AP271" s="46"/>
    </row>
    <row r="272" spans="40:42">
      <c r="AN272" t="s">
        <v>1946</v>
      </c>
      <c r="AO272" s="45">
        <v>580260</v>
      </c>
      <c r="AP272" s="46"/>
    </row>
    <row r="273" spans="40:42">
      <c r="AN273" t="s">
        <v>1947</v>
      </c>
      <c r="AO273" s="45">
        <v>557271</v>
      </c>
      <c r="AP273" s="46"/>
    </row>
    <row r="274" spans="40:42">
      <c r="AN274" t="s">
        <v>1948</v>
      </c>
      <c r="AO274" s="45">
        <v>557269</v>
      </c>
      <c r="AP274" s="46"/>
    </row>
    <row r="275" spans="40:42">
      <c r="AN275" t="s">
        <v>1949</v>
      </c>
      <c r="AO275" s="45">
        <v>568090</v>
      </c>
      <c r="AP275" s="46"/>
    </row>
    <row r="276" spans="40:42">
      <c r="AN276" t="s">
        <v>1950</v>
      </c>
      <c r="AO276" s="45">
        <v>557268</v>
      </c>
      <c r="AP276" s="46"/>
    </row>
    <row r="277" spans="40:42">
      <c r="AN277" t="s">
        <v>1951</v>
      </c>
      <c r="AO277" s="45">
        <v>555386</v>
      </c>
      <c r="AP277" s="46"/>
    </row>
    <row r="278" spans="40:42">
      <c r="AN278" t="s">
        <v>1952</v>
      </c>
      <c r="AO278" s="45">
        <v>565311</v>
      </c>
      <c r="AP278" s="46"/>
    </row>
    <row r="279" spans="40:42">
      <c r="AN279" t="s">
        <v>1953</v>
      </c>
      <c r="AO279" s="45">
        <v>477744</v>
      </c>
      <c r="AP279" s="46"/>
    </row>
    <row r="280" spans="40:42">
      <c r="AN280" t="s">
        <v>1954</v>
      </c>
      <c r="AO280" s="45">
        <v>563492</v>
      </c>
      <c r="AP280" s="46"/>
    </row>
    <row r="281" spans="40:42">
      <c r="AN281" t="s">
        <v>1955</v>
      </c>
      <c r="AO281" s="45">
        <v>563549</v>
      </c>
      <c r="AP281" s="46"/>
    </row>
    <row r="282" spans="40:42">
      <c r="AN282" t="s">
        <v>1956</v>
      </c>
      <c r="AO282" s="45">
        <v>563493</v>
      </c>
      <c r="AP282" s="46"/>
    </row>
    <row r="283" spans="40:42">
      <c r="AN283" t="s">
        <v>1957</v>
      </c>
      <c r="AO283" s="45">
        <v>417800</v>
      </c>
      <c r="AP283" s="46"/>
    </row>
    <row r="284" spans="40:42">
      <c r="AN284" t="s">
        <v>1958</v>
      </c>
      <c r="AO284" s="45">
        <v>545775</v>
      </c>
      <c r="AP284" s="46"/>
    </row>
    <row r="285" spans="40:42">
      <c r="AN285" t="s">
        <v>1959</v>
      </c>
      <c r="AO285" s="45">
        <v>204</v>
      </c>
      <c r="AP285" s="46"/>
    </row>
    <row r="286" spans="40:42">
      <c r="AN286" t="s">
        <v>1960</v>
      </c>
      <c r="AO286" s="45">
        <v>608691</v>
      </c>
      <c r="AP286" s="46"/>
    </row>
    <row r="287" spans="40:42">
      <c r="AN287" t="s">
        <v>1961</v>
      </c>
      <c r="AO287" s="45">
        <v>615994</v>
      </c>
      <c r="AP287" s="46"/>
    </row>
    <row r="288" spans="40:42">
      <c r="AN288" t="s">
        <v>1962</v>
      </c>
      <c r="AO288" s="45">
        <v>573653</v>
      </c>
      <c r="AP288" s="46"/>
    </row>
    <row r="289" spans="40:42">
      <c r="AN289" t="s">
        <v>1963</v>
      </c>
      <c r="AO289" s="45">
        <v>572560</v>
      </c>
      <c r="AP289" s="46"/>
    </row>
    <row r="290" spans="40:42">
      <c r="AN290" t="s">
        <v>1964</v>
      </c>
      <c r="AO290" s="45">
        <v>608311</v>
      </c>
      <c r="AP290" s="46"/>
    </row>
    <row r="291" spans="40:42">
      <c r="AN291" t="s">
        <v>1965</v>
      </c>
      <c r="AO291" s="45">
        <v>611745</v>
      </c>
      <c r="AP291" s="46"/>
    </row>
    <row r="292" spans="40:42">
      <c r="AN292" t="s">
        <v>1966</v>
      </c>
      <c r="AO292" s="45">
        <v>564658</v>
      </c>
      <c r="AP292" s="46"/>
    </row>
    <row r="293" spans="40:42">
      <c r="AN293" t="s">
        <v>1967</v>
      </c>
      <c r="AO293" s="45">
        <v>339087</v>
      </c>
      <c r="AP293" s="46"/>
    </row>
    <row r="294" spans="40:42">
      <c r="AN294" t="s">
        <v>1968</v>
      </c>
      <c r="AO294" s="45">
        <v>572608</v>
      </c>
      <c r="AP294" s="46"/>
    </row>
    <row r="295" spans="40:42">
      <c r="AN295" t="s">
        <v>1969</v>
      </c>
      <c r="AO295" s="45">
        <v>607406</v>
      </c>
      <c r="AP295" s="46"/>
    </row>
    <row r="296" spans="40:42">
      <c r="AN296" t="s">
        <v>1970</v>
      </c>
      <c r="AO296" s="45">
        <v>609071</v>
      </c>
      <c r="AP296" s="46"/>
    </row>
    <row r="297" spans="40:42">
      <c r="AN297" t="s">
        <v>1971</v>
      </c>
      <c r="AO297" s="45">
        <v>99</v>
      </c>
      <c r="AP297" s="46"/>
    </row>
    <row r="298" spans="40:42">
      <c r="AN298" t="s">
        <v>1972</v>
      </c>
      <c r="AO298" s="45">
        <v>208</v>
      </c>
      <c r="AP298" s="46"/>
    </row>
    <row r="299" spans="40:42">
      <c r="AN299" t="s">
        <v>1973</v>
      </c>
      <c r="AO299" s="45">
        <v>556337</v>
      </c>
      <c r="AP299" s="46"/>
    </row>
    <row r="300" spans="40:42">
      <c r="AN300" t="s">
        <v>1974</v>
      </c>
      <c r="AO300" s="45">
        <v>610676</v>
      </c>
      <c r="AP300" s="46"/>
    </row>
    <row r="301" spans="40:42">
      <c r="AN301" t="s">
        <v>1975</v>
      </c>
      <c r="AO301" s="45">
        <v>572616</v>
      </c>
      <c r="AP301" s="46"/>
    </row>
    <row r="302" spans="40:42">
      <c r="AN302" t="s">
        <v>1976</v>
      </c>
      <c r="AO302" s="45">
        <v>569410</v>
      </c>
      <c r="AP302" s="46"/>
    </row>
    <row r="303" spans="40:42">
      <c r="AN303" t="s">
        <v>1977</v>
      </c>
      <c r="AO303" s="45">
        <v>608037</v>
      </c>
      <c r="AP303" s="46"/>
    </row>
    <row r="304" spans="40:42">
      <c r="AN304" t="s">
        <v>1978</v>
      </c>
      <c r="AO304" s="45">
        <v>608084</v>
      </c>
      <c r="AP304" s="46"/>
    </row>
    <row r="305" spans="40:42">
      <c r="AN305" t="s">
        <v>1979</v>
      </c>
      <c r="AO305" s="45">
        <v>75</v>
      </c>
      <c r="AP305" s="46"/>
    </row>
    <row r="306" spans="40:42">
      <c r="AN306" t="s">
        <v>1980</v>
      </c>
      <c r="AO306" s="45">
        <v>304</v>
      </c>
      <c r="AP306" s="46"/>
    </row>
    <row r="307" spans="40:42">
      <c r="AN307" t="s">
        <v>1981</v>
      </c>
      <c r="AO307" s="45">
        <v>486276</v>
      </c>
      <c r="AP307" s="46"/>
    </row>
    <row r="308" spans="40:42">
      <c r="AN308" t="s">
        <v>1982</v>
      </c>
      <c r="AO308" s="45">
        <v>609308</v>
      </c>
      <c r="AP308" s="46"/>
    </row>
    <row r="309" spans="40:42">
      <c r="AN309" t="s">
        <v>1983</v>
      </c>
      <c r="AO309" s="45">
        <v>555389</v>
      </c>
      <c r="AP309" s="46"/>
    </row>
    <row r="310" spans="40:42">
      <c r="AN310" t="s">
        <v>1984</v>
      </c>
      <c r="AO310" s="45">
        <v>545795</v>
      </c>
      <c r="AP310" s="46"/>
    </row>
    <row r="311" spans="40:42">
      <c r="AN311" t="s">
        <v>1985</v>
      </c>
      <c r="AO311" s="45">
        <v>545796</v>
      </c>
      <c r="AP311" s="46"/>
    </row>
    <row r="312" spans="40:42">
      <c r="AN312" t="s">
        <v>1986</v>
      </c>
      <c r="AO312" s="45">
        <v>556263</v>
      </c>
      <c r="AP312" s="46"/>
    </row>
    <row r="313" spans="40:42">
      <c r="AN313" t="s">
        <v>1987</v>
      </c>
      <c r="AO313" s="45">
        <v>612583</v>
      </c>
      <c r="AP313" s="46"/>
    </row>
    <row r="314" spans="40:42">
      <c r="AN314" t="s">
        <v>1988</v>
      </c>
      <c r="AO314" s="45">
        <v>612584</v>
      </c>
      <c r="AP314" s="46"/>
    </row>
    <row r="315" spans="40:42">
      <c r="AN315" t="s">
        <v>1989</v>
      </c>
      <c r="AO315" s="45">
        <v>563582</v>
      </c>
      <c r="AP315" s="46"/>
    </row>
    <row r="316" spans="40:42">
      <c r="AN316" t="s">
        <v>1990</v>
      </c>
      <c r="AO316" s="45">
        <v>615182</v>
      </c>
      <c r="AP316" s="46"/>
    </row>
    <row r="317" spans="40:42">
      <c r="AN317" t="s">
        <v>1991</v>
      </c>
      <c r="AO317" s="45">
        <v>564297</v>
      </c>
      <c r="AP317" s="46"/>
    </row>
    <row r="318" spans="40:42">
      <c r="AN318" t="s">
        <v>1992</v>
      </c>
      <c r="AO318" s="45">
        <v>563620</v>
      </c>
      <c r="AP318" s="46"/>
    </row>
    <row r="319" spans="40:42">
      <c r="AN319" t="s">
        <v>1993</v>
      </c>
      <c r="AO319" s="45">
        <v>563619</v>
      </c>
      <c r="AP319" s="46"/>
    </row>
    <row r="320" spans="40:42">
      <c r="AN320" t="s">
        <v>1994</v>
      </c>
      <c r="AO320" s="45">
        <v>609453</v>
      </c>
      <c r="AP320" s="46"/>
    </row>
    <row r="321" spans="40:42">
      <c r="AN321" t="s">
        <v>1995</v>
      </c>
      <c r="AO321" s="45">
        <v>563547</v>
      </c>
      <c r="AP321" s="46"/>
    </row>
    <row r="322" spans="40:42">
      <c r="AN322" t="s">
        <v>1996</v>
      </c>
      <c r="AO322" s="45">
        <v>610675</v>
      </c>
      <c r="AP322" s="46"/>
    </row>
    <row r="323" spans="40:42">
      <c r="AN323" t="s">
        <v>1997</v>
      </c>
      <c r="AO323" s="45">
        <v>96261</v>
      </c>
      <c r="AP323" s="46"/>
    </row>
    <row r="324" spans="40:42">
      <c r="AN324" t="s">
        <v>1998</v>
      </c>
      <c r="AO324" s="45">
        <v>562312</v>
      </c>
      <c r="AP324" s="46"/>
    </row>
    <row r="325" spans="40:42">
      <c r="AN325" t="s">
        <v>1999</v>
      </c>
      <c r="AO325" s="45">
        <v>606761</v>
      </c>
      <c r="AP325" s="46"/>
    </row>
    <row r="326" spans="40:42">
      <c r="AN326" t="s">
        <v>2000</v>
      </c>
      <c r="AO326" s="45">
        <v>417808</v>
      </c>
      <c r="AP326" s="46"/>
    </row>
    <row r="327" spans="40:42">
      <c r="AN327" t="s">
        <v>2001</v>
      </c>
      <c r="AO327" s="45">
        <v>608659</v>
      </c>
      <c r="AP327" s="46"/>
    </row>
    <row r="328" spans="40:42">
      <c r="AN328" t="s">
        <v>2002</v>
      </c>
      <c r="AO328" s="45">
        <v>617898</v>
      </c>
      <c r="AP328" s="46"/>
    </row>
    <row r="329" spans="40:42">
      <c r="AN329" t="s">
        <v>2003</v>
      </c>
      <c r="AO329" s="45">
        <v>565871</v>
      </c>
      <c r="AP329" s="46"/>
    </row>
    <row r="330" spans="40:42">
      <c r="AN330" t="s">
        <v>2004</v>
      </c>
      <c r="AO330" s="45">
        <v>565873</v>
      </c>
      <c r="AP330" s="46"/>
    </row>
    <row r="331" spans="40:42">
      <c r="AN331" t="s">
        <v>2005</v>
      </c>
      <c r="AO331" s="45">
        <v>565899</v>
      </c>
      <c r="AP331" s="46"/>
    </row>
    <row r="332" spans="40:42">
      <c r="AN332" t="s">
        <v>2006</v>
      </c>
      <c r="AO332" s="45">
        <v>565872</v>
      </c>
      <c r="AP332" s="46"/>
    </row>
    <row r="333" spans="40:42">
      <c r="AN333" t="s">
        <v>2007</v>
      </c>
      <c r="AO333" s="45">
        <v>565874</v>
      </c>
      <c r="AP333" s="46"/>
    </row>
    <row r="334" spans="40:42">
      <c r="AN334" t="s">
        <v>2008</v>
      </c>
      <c r="AO334" s="45">
        <v>610677</v>
      </c>
      <c r="AP334" s="46"/>
    </row>
    <row r="335" spans="40:42">
      <c r="AN335" t="s">
        <v>2009</v>
      </c>
      <c r="AO335" s="45">
        <v>567043</v>
      </c>
      <c r="AP335" s="46"/>
    </row>
    <row r="336" spans="40:42">
      <c r="AN336" t="s">
        <v>2010</v>
      </c>
      <c r="AO336" s="45">
        <v>567627</v>
      </c>
      <c r="AP336" s="46"/>
    </row>
    <row r="337" spans="40:42">
      <c r="AN337" t="s">
        <v>2011</v>
      </c>
      <c r="AO337" s="45">
        <v>567628</v>
      </c>
      <c r="AP337" s="46"/>
    </row>
    <row r="338" spans="40:42">
      <c r="AN338" t="s">
        <v>2012</v>
      </c>
      <c r="AO338" s="45">
        <v>567629</v>
      </c>
      <c r="AP338" s="46"/>
    </row>
    <row r="339" spans="40:42">
      <c r="AN339" t="s">
        <v>2013</v>
      </c>
      <c r="AO339" s="45">
        <v>417710</v>
      </c>
      <c r="AP339" s="46"/>
    </row>
    <row r="340" spans="40:42">
      <c r="AN340" t="s">
        <v>2014</v>
      </c>
      <c r="AO340" s="45">
        <v>615784</v>
      </c>
      <c r="AP340" s="46"/>
    </row>
    <row r="341" spans="40:42">
      <c r="AN341" t="s">
        <v>2015</v>
      </c>
      <c r="AO341" s="45">
        <v>607796</v>
      </c>
      <c r="AP341" s="46"/>
    </row>
    <row r="342" spans="40:42">
      <c r="AN342" t="s">
        <v>2016</v>
      </c>
      <c r="AO342" s="45">
        <v>608429</v>
      </c>
      <c r="AP342" s="46"/>
    </row>
    <row r="343" spans="40:42">
      <c r="AN343" t="s">
        <v>2017</v>
      </c>
      <c r="AO343" s="45">
        <v>477765</v>
      </c>
      <c r="AP343" s="46"/>
    </row>
    <row r="344" spans="40:42">
      <c r="AN344" t="s">
        <v>2018</v>
      </c>
      <c r="AO344" s="45">
        <v>608825</v>
      </c>
      <c r="AP344" s="46"/>
    </row>
    <row r="345" spans="40:42">
      <c r="AN345" t="s">
        <v>2019</v>
      </c>
      <c r="AO345" s="45">
        <v>606789</v>
      </c>
      <c r="AP345" s="46"/>
    </row>
    <row r="346" spans="40:42">
      <c r="AN346" t="s">
        <v>2020</v>
      </c>
      <c r="AO346" s="45">
        <v>617880</v>
      </c>
      <c r="AP346" s="46"/>
    </row>
    <row r="347" spans="40:42">
      <c r="AN347" t="s">
        <v>2021</v>
      </c>
      <c r="AO347" s="45">
        <v>608464</v>
      </c>
      <c r="AP347" s="46"/>
    </row>
    <row r="348" spans="40:42">
      <c r="AN348" t="s">
        <v>2022</v>
      </c>
      <c r="AO348" s="45">
        <v>568108</v>
      </c>
      <c r="AP348" s="46"/>
    </row>
    <row r="349" spans="40:42">
      <c r="AN349" t="s">
        <v>2023</v>
      </c>
      <c r="AO349" s="45">
        <v>567474</v>
      </c>
      <c r="AP349" s="46"/>
    </row>
    <row r="350" spans="40:42">
      <c r="AN350" t="s">
        <v>2024</v>
      </c>
      <c r="AO350" s="45">
        <v>571279</v>
      </c>
      <c r="AP350" s="46"/>
    </row>
    <row r="351" spans="40:42">
      <c r="AN351" t="s">
        <v>2025</v>
      </c>
      <c r="AO351" s="45">
        <v>553652</v>
      </c>
      <c r="AP351" s="46"/>
    </row>
    <row r="352" spans="40:42">
      <c r="AN352" t="s">
        <v>2026</v>
      </c>
      <c r="AO352" s="45">
        <v>563529</v>
      </c>
      <c r="AP352" s="46"/>
    </row>
    <row r="353" spans="40:42">
      <c r="AN353" t="s">
        <v>2027</v>
      </c>
      <c r="AO353" s="45">
        <v>572970</v>
      </c>
      <c r="AP353" s="46"/>
    </row>
    <row r="354" spans="40:42">
      <c r="AN354" t="s">
        <v>2028</v>
      </c>
      <c r="AO354" s="45">
        <v>609297</v>
      </c>
      <c r="AP354" s="46"/>
    </row>
    <row r="355" spans="40:42">
      <c r="AN355" t="s">
        <v>2029</v>
      </c>
      <c r="AO355" s="45">
        <v>479637</v>
      </c>
      <c r="AP355" s="46"/>
    </row>
    <row r="356" spans="40:42">
      <c r="AN356" t="s">
        <v>2030</v>
      </c>
      <c r="AO356" s="45">
        <v>563265</v>
      </c>
      <c r="AP356" s="46"/>
    </row>
    <row r="357" spans="40:42">
      <c r="AN357" t="s">
        <v>2031</v>
      </c>
      <c r="AO357" s="45">
        <v>556230</v>
      </c>
      <c r="AP357" s="46"/>
    </row>
    <row r="358" spans="40:42">
      <c r="AN358" t="s">
        <v>2032</v>
      </c>
      <c r="AO358" s="45">
        <v>563546</v>
      </c>
      <c r="AP358" s="46"/>
    </row>
    <row r="359" spans="40:42">
      <c r="AN359" t="s">
        <v>2033</v>
      </c>
      <c r="AO359" s="45">
        <v>555679</v>
      </c>
      <c r="AP359" s="46"/>
    </row>
    <row r="360" spans="40:42">
      <c r="AN360" t="s">
        <v>2034</v>
      </c>
      <c r="AO360" s="45">
        <v>555266</v>
      </c>
      <c r="AP360" s="46"/>
    </row>
    <row r="361" spans="40:42">
      <c r="AN361" t="s">
        <v>2035</v>
      </c>
      <c r="AO361" s="45">
        <v>572337</v>
      </c>
      <c r="AP361" s="46"/>
    </row>
    <row r="362" spans="40:42">
      <c r="AN362" t="s">
        <v>2036</v>
      </c>
      <c r="AO362" s="45">
        <v>238</v>
      </c>
      <c r="AP362" s="46"/>
    </row>
    <row r="363" spans="40:42">
      <c r="AN363" t="s">
        <v>2037</v>
      </c>
      <c r="AO363" s="45">
        <v>480430</v>
      </c>
      <c r="AP363" s="46"/>
    </row>
    <row r="364" spans="40:42">
      <c r="AN364" t="s">
        <v>2038</v>
      </c>
      <c r="AO364" s="45">
        <v>607219</v>
      </c>
      <c r="AP364" s="46"/>
    </row>
    <row r="365" spans="40:42">
      <c r="AN365" t="s">
        <v>2039</v>
      </c>
      <c r="AO365" s="45">
        <v>607218</v>
      </c>
      <c r="AP365" s="46"/>
    </row>
    <row r="366" spans="40:42">
      <c r="AN366" t="s">
        <v>2040</v>
      </c>
      <c r="AO366" s="45">
        <v>617921</v>
      </c>
      <c r="AP366" s="46"/>
    </row>
    <row r="367" spans="40:42">
      <c r="AN367" t="s">
        <v>2041</v>
      </c>
      <c r="AO367" s="45">
        <v>339079</v>
      </c>
      <c r="AP367" s="46"/>
    </row>
    <row r="368" spans="40:42">
      <c r="AN368" t="s">
        <v>2042</v>
      </c>
      <c r="AO368" s="45">
        <v>566511</v>
      </c>
      <c r="AP368" s="46"/>
    </row>
    <row r="369" spans="40:42">
      <c r="AN369" t="s">
        <v>2043</v>
      </c>
      <c r="AO369" s="45">
        <v>570016</v>
      </c>
      <c r="AP369" s="46"/>
    </row>
    <row r="370" spans="40:42">
      <c r="AN370" t="s">
        <v>2044</v>
      </c>
      <c r="AO370" s="45">
        <v>563783</v>
      </c>
      <c r="AP370" s="46"/>
    </row>
    <row r="371" spans="40:42">
      <c r="AN371" t="s">
        <v>2045</v>
      </c>
      <c r="AO371" s="45">
        <v>567798</v>
      </c>
      <c r="AP371" s="46"/>
    </row>
    <row r="372" spans="40:42">
      <c r="AN372" t="s">
        <v>2046</v>
      </c>
      <c r="AO372" s="45">
        <v>555302</v>
      </c>
      <c r="AP372" s="46"/>
    </row>
    <row r="373" spans="40:42">
      <c r="AN373" t="s">
        <v>2047</v>
      </c>
      <c r="AO373" s="45">
        <v>608349</v>
      </c>
      <c r="AP373" s="46"/>
    </row>
    <row r="374" spans="40:42">
      <c r="AN374" t="s">
        <v>2048</v>
      </c>
      <c r="AO374" s="45">
        <v>565875</v>
      </c>
      <c r="AP374" s="46"/>
    </row>
    <row r="375" spans="40:42">
      <c r="AN375" t="s">
        <v>2049</v>
      </c>
      <c r="AO375" s="45">
        <v>564024</v>
      </c>
      <c r="AP375" s="46"/>
    </row>
    <row r="376" spans="40:42">
      <c r="AN376" t="s">
        <v>2050</v>
      </c>
      <c r="AO376" s="45">
        <v>545801</v>
      </c>
      <c r="AP376" s="46"/>
    </row>
    <row r="377" spans="40:42">
      <c r="AN377" t="s">
        <v>2051</v>
      </c>
      <c r="AO377" s="45">
        <v>545959</v>
      </c>
      <c r="AP377" s="46"/>
    </row>
    <row r="378" spans="40:42">
      <c r="AN378" t="s">
        <v>2052</v>
      </c>
      <c r="AO378" s="45">
        <v>572629</v>
      </c>
      <c r="AP378" s="46"/>
    </row>
    <row r="379" spans="40:42">
      <c r="AN379" t="s">
        <v>2053</v>
      </c>
      <c r="AO379" s="45">
        <v>339086</v>
      </c>
      <c r="AP379" s="46"/>
    </row>
    <row r="380" spans="40:42">
      <c r="AN380" t="s">
        <v>2054</v>
      </c>
      <c r="AO380" s="45">
        <v>616009</v>
      </c>
      <c r="AP380" s="46"/>
    </row>
    <row r="381" spans="40:42">
      <c r="AN381" t="s">
        <v>2055</v>
      </c>
      <c r="AO381" s="45">
        <v>615997</v>
      </c>
      <c r="AP381" s="46"/>
    </row>
    <row r="382" spans="40:42">
      <c r="AN382" t="s">
        <v>2056</v>
      </c>
      <c r="AO382" s="45">
        <v>567908</v>
      </c>
      <c r="AP382" s="46"/>
    </row>
    <row r="383" spans="40:42">
      <c r="AN383" t="s">
        <v>2057</v>
      </c>
      <c r="AO383" s="45">
        <v>477763</v>
      </c>
      <c r="AP383" s="46"/>
    </row>
    <row r="384" spans="40:42">
      <c r="AN384" t="s">
        <v>2058</v>
      </c>
      <c r="AO384" s="45">
        <v>618922</v>
      </c>
      <c r="AP384" s="46"/>
    </row>
    <row r="385" spans="40:42">
      <c r="AN385" t="s">
        <v>2059</v>
      </c>
      <c r="AO385" s="45">
        <v>435450</v>
      </c>
      <c r="AP385" s="46"/>
    </row>
    <row r="386" spans="40:42">
      <c r="AN386" t="s">
        <v>2060</v>
      </c>
      <c r="AO386" s="45">
        <v>451503</v>
      </c>
      <c r="AP386" s="46"/>
    </row>
    <row r="387" spans="40:42">
      <c r="AN387" t="s">
        <v>2061</v>
      </c>
      <c r="AO387" s="45">
        <v>607921</v>
      </c>
      <c r="AP387" s="46"/>
    </row>
    <row r="388" spans="40:42">
      <c r="AN388" t="s">
        <v>2062</v>
      </c>
      <c r="AO388" s="45">
        <v>569671</v>
      </c>
      <c r="AP388" s="46"/>
    </row>
    <row r="389" spans="40:42">
      <c r="AN389" t="s">
        <v>2063</v>
      </c>
      <c r="AO389" s="45">
        <v>564023</v>
      </c>
      <c r="AP389" s="46"/>
    </row>
    <row r="390" spans="40:42">
      <c r="AN390" t="s">
        <v>2064</v>
      </c>
      <c r="AO390" s="45">
        <v>572563</v>
      </c>
      <c r="AP390" s="46"/>
    </row>
    <row r="391" spans="40:42">
      <c r="AN391" t="s">
        <v>2065</v>
      </c>
      <c r="AO391" s="45">
        <v>556470</v>
      </c>
      <c r="AP391" s="46"/>
    </row>
    <row r="392" spans="40:42">
      <c r="AN392" t="s">
        <v>2066</v>
      </c>
      <c r="AO392" s="45">
        <v>555254</v>
      </c>
      <c r="AP392" s="46"/>
    </row>
    <row r="393" spans="40:42">
      <c r="AN393" t="s">
        <v>2067</v>
      </c>
      <c r="AO393" s="45">
        <v>555247</v>
      </c>
      <c r="AP393" s="46"/>
    </row>
    <row r="394" spans="40:42">
      <c r="AN394" t="s">
        <v>2068</v>
      </c>
      <c r="AO394" s="45">
        <v>555251</v>
      </c>
      <c r="AP394" s="46"/>
    </row>
    <row r="395" spans="40:42">
      <c r="AN395" t="s">
        <v>2069</v>
      </c>
      <c r="AO395" s="45">
        <v>568177</v>
      </c>
      <c r="AP395" s="46"/>
    </row>
    <row r="396" spans="40:42">
      <c r="AN396" t="s">
        <v>2070</v>
      </c>
      <c r="AO396" s="45">
        <v>555238</v>
      </c>
      <c r="AP396" s="46"/>
    </row>
    <row r="397" spans="40:42">
      <c r="AN397" t="s">
        <v>2071</v>
      </c>
      <c r="AO397" s="45">
        <v>497143</v>
      </c>
      <c r="AP397" s="46"/>
    </row>
    <row r="398" spans="40:42">
      <c r="AN398" t="s">
        <v>2072</v>
      </c>
      <c r="AO398" s="45">
        <v>607654</v>
      </c>
      <c r="AP398" s="46"/>
    </row>
    <row r="399" spans="40:42">
      <c r="AN399" t="s">
        <v>2073</v>
      </c>
      <c r="AO399" s="45">
        <v>572156</v>
      </c>
      <c r="AP399" s="46"/>
    </row>
    <row r="400" spans="40:42">
      <c r="AN400" t="s">
        <v>2074</v>
      </c>
      <c r="AO400" s="45">
        <v>563889</v>
      </c>
      <c r="AP400" s="46"/>
    </row>
    <row r="401" spans="40:42">
      <c r="AN401" t="s">
        <v>2075</v>
      </c>
      <c r="AO401" s="45">
        <v>564021</v>
      </c>
      <c r="AP401" s="46"/>
    </row>
    <row r="402" spans="40:42">
      <c r="AN402" t="s">
        <v>2076</v>
      </c>
      <c r="AO402" s="45">
        <v>563876</v>
      </c>
      <c r="AP402" s="46"/>
    </row>
    <row r="403" spans="40:42">
      <c r="AN403" t="s">
        <v>2077</v>
      </c>
      <c r="AO403" s="45">
        <v>608313</v>
      </c>
      <c r="AP403" s="46"/>
    </row>
    <row r="404" spans="40:42">
      <c r="AN404" t="s">
        <v>2078</v>
      </c>
      <c r="AO404" s="45">
        <v>616898</v>
      </c>
      <c r="AP404" s="46"/>
    </row>
    <row r="405" spans="40:42">
      <c r="AN405" t="s">
        <v>2079</v>
      </c>
      <c r="AO405" s="45">
        <v>492103</v>
      </c>
      <c r="AP405" s="46"/>
    </row>
    <row r="406" spans="40:42">
      <c r="AN406" t="s">
        <v>2080</v>
      </c>
      <c r="AO406" s="45">
        <v>494556</v>
      </c>
      <c r="AP406" s="46"/>
    </row>
    <row r="407" spans="40:42">
      <c r="AN407" t="s">
        <v>2081</v>
      </c>
      <c r="AO407" s="45">
        <v>492105</v>
      </c>
      <c r="AP407" s="46"/>
    </row>
    <row r="408" spans="40:42">
      <c r="AN408" t="s">
        <v>2082</v>
      </c>
      <c r="AO408" s="45">
        <v>492104</v>
      </c>
      <c r="AP408" s="46"/>
    </row>
    <row r="409" spans="40:42">
      <c r="AN409" t="s">
        <v>2083</v>
      </c>
      <c r="AO409" s="45">
        <v>492101</v>
      </c>
      <c r="AP409" s="46"/>
    </row>
    <row r="410" spans="40:42">
      <c r="AN410" t="s">
        <v>2084</v>
      </c>
      <c r="AO410" s="45">
        <v>492102</v>
      </c>
      <c r="AP410" s="46"/>
    </row>
    <row r="411" spans="40:42">
      <c r="AN411" t="s">
        <v>2085</v>
      </c>
      <c r="AO411" s="45">
        <v>565928</v>
      </c>
      <c r="AP411" s="46"/>
    </row>
    <row r="412" spans="40:42">
      <c r="AN412" t="s">
        <v>2086</v>
      </c>
      <c r="AO412" s="45">
        <v>555784</v>
      </c>
      <c r="AP412" s="46"/>
    </row>
    <row r="413" spans="40:42">
      <c r="AN413" t="s">
        <v>2087</v>
      </c>
      <c r="AO413" s="45">
        <v>459300</v>
      </c>
      <c r="AP413" s="46"/>
    </row>
    <row r="414" spans="40:42">
      <c r="AN414" t="s">
        <v>2088</v>
      </c>
      <c r="AO414" s="45">
        <v>553634</v>
      </c>
      <c r="AP414" s="46"/>
    </row>
    <row r="415" spans="40:42">
      <c r="AN415" t="s">
        <v>2089</v>
      </c>
      <c r="AO415" s="45">
        <v>607770</v>
      </c>
      <c r="AP415" s="46"/>
    </row>
    <row r="416" spans="40:42">
      <c r="AN416" t="s">
        <v>2090</v>
      </c>
      <c r="AO416" s="45">
        <v>564026</v>
      </c>
      <c r="AP416" s="46"/>
    </row>
    <row r="417" spans="40:42">
      <c r="AN417" t="s">
        <v>2091</v>
      </c>
      <c r="AO417" s="45">
        <v>234</v>
      </c>
      <c r="AP417" s="46"/>
    </row>
    <row r="418" spans="40:42">
      <c r="AN418" t="s">
        <v>2092</v>
      </c>
      <c r="AO418" s="45">
        <v>609626</v>
      </c>
      <c r="AP418" s="46"/>
    </row>
    <row r="419" spans="40:42">
      <c r="AN419" t="s">
        <v>2093</v>
      </c>
      <c r="AO419" s="45">
        <v>572558</v>
      </c>
      <c r="AP419" s="46"/>
    </row>
    <row r="420" spans="40:42">
      <c r="AN420" t="s">
        <v>2094</v>
      </c>
      <c r="AO420" s="45">
        <v>617108</v>
      </c>
      <c r="AP420" s="46"/>
    </row>
    <row r="421" spans="40:42">
      <c r="AN421" t="s">
        <v>2095</v>
      </c>
      <c r="AO421" s="45">
        <v>556364</v>
      </c>
      <c r="AP421" s="46"/>
    </row>
    <row r="422" spans="40:42">
      <c r="AN422" t="s">
        <v>2096</v>
      </c>
      <c r="AO422" s="45">
        <v>615564</v>
      </c>
      <c r="AP422" s="46"/>
    </row>
    <row r="423" spans="40:42">
      <c r="AN423" t="s">
        <v>2097</v>
      </c>
      <c r="AO423" s="45">
        <v>611906</v>
      </c>
      <c r="AP423" s="46"/>
    </row>
    <row r="424" spans="40:42">
      <c r="AN424" t="s">
        <v>2098</v>
      </c>
      <c r="AO424" s="45">
        <v>556757</v>
      </c>
      <c r="AP424" s="46"/>
    </row>
    <row r="425" spans="40:42">
      <c r="AN425" t="s">
        <v>2099</v>
      </c>
      <c r="AO425" s="45">
        <v>136260</v>
      </c>
      <c r="AP425" s="46"/>
    </row>
    <row r="426" spans="40:42">
      <c r="AN426" t="s">
        <v>2100</v>
      </c>
      <c r="AO426" s="45">
        <v>607414</v>
      </c>
      <c r="AP426" s="46"/>
    </row>
    <row r="427" spans="40:42">
      <c r="AN427" t="s">
        <v>2101</v>
      </c>
      <c r="AO427" s="45">
        <v>609335</v>
      </c>
      <c r="AP427" s="46"/>
    </row>
    <row r="428" spans="40:42">
      <c r="AN428" t="s">
        <v>2102</v>
      </c>
      <c r="AO428" s="45">
        <v>607558</v>
      </c>
      <c r="AP428" s="46"/>
    </row>
    <row r="429" spans="40:42">
      <c r="AN429" t="s">
        <v>2103</v>
      </c>
      <c r="AO429" s="45">
        <v>617825</v>
      </c>
      <c r="AP429" s="46"/>
    </row>
    <row r="430" spans="40:42">
      <c r="AN430" t="s">
        <v>2104</v>
      </c>
      <c r="AO430" s="45">
        <v>607557</v>
      </c>
      <c r="AP430" s="46"/>
    </row>
    <row r="431" spans="40:42">
      <c r="AN431" t="s">
        <v>2105</v>
      </c>
      <c r="AO431" s="45">
        <v>580169</v>
      </c>
      <c r="AP431" s="46"/>
    </row>
    <row r="432" spans="40:42">
      <c r="AN432" t="s">
        <v>2106</v>
      </c>
      <c r="AO432" s="45">
        <v>480400</v>
      </c>
      <c r="AP432" s="46"/>
    </row>
    <row r="433" spans="40:42">
      <c r="AN433" t="s">
        <v>2107</v>
      </c>
      <c r="AO433" s="45">
        <v>567263</v>
      </c>
      <c r="AP433" s="46"/>
    </row>
    <row r="434" spans="40:42">
      <c r="AN434" t="s">
        <v>2108</v>
      </c>
      <c r="AO434" s="45">
        <v>110</v>
      </c>
      <c r="AP434" s="46"/>
    </row>
    <row r="435" spans="40:42">
      <c r="AN435" t="s">
        <v>2109</v>
      </c>
      <c r="AO435" s="45">
        <v>616869</v>
      </c>
      <c r="AP435" s="46"/>
    </row>
    <row r="436" spans="40:42">
      <c r="AN436" t="s">
        <v>2110</v>
      </c>
      <c r="AO436" s="45">
        <v>584936</v>
      </c>
      <c r="AP436" s="46"/>
    </row>
    <row r="437" spans="40:42">
      <c r="AN437" t="s">
        <v>2111</v>
      </c>
      <c r="AO437" s="45">
        <v>567475</v>
      </c>
      <c r="AP437" s="46"/>
    </row>
    <row r="438" spans="40:42">
      <c r="AN438" t="s">
        <v>2112</v>
      </c>
      <c r="AO438" s="45">
        <v>568045</v>
      </c>
      <c r="AP438" s="46"/>
    </row>
    <row r="439" spans="40:42">
      <c r="AN439" t="s">
        <v>2113</v>
      </c>
      <c r="AO439" s="45">
        <v>617156</v>
      </c>
      <c r="AP439" s="46"/>
    </row>
    <row r="440" spans="40:42">
      <c r="AN440" t="s">
        <v>2114</v>
      </c>
      <c r="AO440" s="45">
        <v>568044</v>
      </c>
      <c r="AP440" s="46"/>
    </row>
    <row r="441" spans="40:42">
      <c r="AN441" t="s">
        <v>2115</v>
      </c>
      <c r="AO441" s="45">
        <v>617579</v>
      </c>
      <c r="AP441" s="46"/>
    </row>
    <row r="442" spans="40:42">
      <c r="AN442" t="s">
        <v>2116</v>
      </c>
      <c r="AO442" s="45">
        <v>563321</v>
      </c>
      <c r="AP442" s="46"/>
    </row>
    <row r="443" spans="40:42">
      <c r="AN443" t="s">
        <v>2117</v>
      </c>
      <c r="AO443" s="45">
        <v>563322</v>
      </c>
      <c r="AP443" s="46"/>
    </row>
    <row r="444" spans="40:42">
      <c r="AN444" t="s">
        <v>2118</v>
      </c>
      <c r="AO444" s="45">
        <v>611868</v>
      </c>
      <c r="AP444" s="46"/>
    </row>
    <row r="445" spans="40:42">
      <c r="AN445" t="s">
        <v>2119</v>
      </c>
      <c r="AO445" s="45">
        <v>611867</v>
      </c>
      <c r="AP445" s="46"/>
    </row>
    <row r="446" spans="40:42">
      <c r="AN446" t="s">
        <v>2120</v>
      </c>
      <c r="AO446" s="45">
        <v>563320</v>
      </c>
      <c r="AP446" s="46"/>
    </row>
    <row r="447" spans="40:42">
      <c r="AN447" t="s">
        <v>2121</v>
      </c>
      <c r="AO447" s="45">
        <v>571283</v>
      </c>
      <c r="AP447" s="46"/>
    </row>
    <row r="448" spans="40:42">
      <c r="AN448" t="s">
        <v>2122</v>
      </c>
      <c r="AO448" s="45">
        <v>570015</v>
      </c>
      <c r="AP448" s="46"/>
    </row>
    <row r="449" spans="40:42">
      <c r="AN449" t="s">
        <v>2123</v>
      </c>
      <c r="AO449" s="45">
        <v>617053</v>
      </c>
      <c r="AP449" s="46"/>
    </row>
    <row r="450" spans="40:42">
      <c r="AN450" t="s">
        <v>2124</v>
      </c>
      <c r="AO450" s="45">
        <v>555259</v>
      </c>
      <c r="AP450" s="46"/>
    </row>
    <row r="451" spans="40:42">
      <c r="AN451" t="s">
        <v>2125</v>
      </c>
      <c r="AO451" s="45">
        <v>486282</v>
      </c>
      <c r="AP451" s="46"/>
    </row>
    <row r="452" spans="40:42">
      <c r="AN452" t="s">
        <v>2126</v>
      </c>
      <c r="AO452" s="45">
        <v>556233</v>
      </c>
      <c r="AP452" s="46"/>
    </row>
    <row r="453" spans="40:42">
      <c r="AN453" t="s">
        <v>2127</v>
      </c>
      <c r="AO453" s="45">
        <v>557234</v>
      </c>
      <c r="AP453" s="46"/>
    </row>
    <row r="454" spans="40:42">
      <c r="AN454" t="s">
        <v>2128</v>
      </c>
      <c r="AO454" s="45">
        <v>417797</v>
      </c>
      <c r="AP454" s="46"/>
    </row>
    <row r="455" spans="40:42">
      <c r="AN455" t="s">
        <v>2129</v>
      </c>
      <c r="AO455" s="45">
        <v>545791</v>
      </c>
      <c r="AP455" s="46"/>
    </row>
    <row r="456" spans="40:42">
      <c r="AN456" t="s">
        <v>2130</v>
      </c>
      <c r="AO456" s="45">
        <v>545792</v>
      </c>
      <c r="AP456" s="46"/>
    </row>
    <row r="457" spans="40:42">
      <c r="AN457" t="s">
        <v>2131</v>
      </c>
      <c r="AO457" s="45">
        <v>545793</v>
      </c>
      <c r="AP457" s="46"/>
    </row>
    <row r="458" spans="40:42">
      <c r="AN458" t="s">
        <v>2132</v>
      </c>
      <c r="AO458" s="45">
        <v>545784</v>
      </c>
      <c r="AP458" s="46"/>
    </row>
    <row r="459" spans="40:42">
      <c r="AN459" t="s">
        <v>2133</v>
      </c>
      <c r="AO459" s="45">
        <v>568123</v>
      </c>
      <c r="AP459" s="46"/>
    </row>
    <row r="460" spans="40:42">
      <c r="AN460" t="s">
        <v>2134</v>
      </c>
      <c r="AO460" s="45">
        <v>479642</v>
      </c>
      <c r="AP460" s="46"/>
    </row>
    <row r="461" spans="40:42">
      <c r="AN461" t="s">
        <v>2135</v>
      </c>
      <c r="AO461" s="45">
        <v>615180</v>
      </c>
      <c r="AP461" s="46"/>
    </row>
    <row r="462" spans="40:42">
      <c r="AN462" t="s">
        <v>2136</v>
      </c>
      <c r="AO462" s="45">
        <v>615181</v>
      </c>
      <c r="AP462" s="46"/>
    </row>
    <row r="463" spans="40:42">
      <c r="AN463" t="s">
        <v>2137</v>
      </c>
      <c r="AO463" s="45">
        <v>556143</v>
      </c>
      <c r="AP463" s="46"/>
    </row>
    <row r="464" spans="40:42">
      <c r="AN464" t="s">
        <v>2138</v>
      </c>
      <c r="AO464" s="45">
        <v>607515</v>
      </c>
      <c r="AP464" s="46"/>
    </row>
    <row r="465" spans="40:42">
      <c r="AN465" t="s">
        <v>2139</v>
      </c>
      <c r="AO465" s="45">
        <v>556129</v>
      </c>
      <c r="AP465" s="46"/>
    </row>
    <row r="466" spans="40:42">
      <c r="AN466" t="s">
        <v>2140</v>
      </c>
      <c r="AO466" s="45">
        <v>607787</v>
      </c>
      <c r="AP466" s="46"/>
    </row>
    <row r="467" spans="40:42">
      <c r="AN467" t="s">
        <v>2141</v>
      </c>
      <c r="AO467" s="45">
        <v>563886</v>
      </c>
      <c r="AP467" s="46"/>
    </row>
    <row r="468" spans="40:42">
      <c r="AN468" t="s">
        <v>2142</v>
      </c>
      <c r="AO468" s="45">
        <v>563887</v>
      </c>
      <c r="AP468" s="46"/>
    </row>
    <row r="469" spans="40:42">
      <c r="AN469" t="s">
        <v>2143</v>
      </c>
      <c r="AO469" s="45">
        <v>611468</v>
      </c>
      <c r="AP469" s="46"/>
    </row>
    <row r="470" spans="40:42">
      <c r="AN470" t="s">
        <v>2144</v>
      </c>
      <c r="AO470" s="45">
        <v>618244</v>
      </c>
      <c r="AP470" s="46"/>
    </row>
    <row r="471" spans="40:42">
      <c r="AN471" t="s">
        <v>2145</v>
      </c>
      <c r="AO471" s="45">
        <v>617429</v>
      </c>
      <c r="AP471" s="46"/>
    </row>
    <row r="472" spans="40:42">
      <c r="AN472" t="s">
        <v>2146</v>
      </c>
      <c r="AO472" s="45">
        <v>609945</v>
      </c>
      <c r="AP472" s="46"/>
    </row>
    <row r="473" spans="40:42">
      <c r="AN473" t="s">
        <v>2147</v>
      </c>
      <c r="AO473" s="45">
        <v>573269</v>
      </c>
      <c r="AP473" s="46"/>
    </row>
    <row r="474" spans="40:42">
      <c r="AN474" t="s">
        <v>2148</v>
      </c>
      <c r="AO474" s="45">
        <v>607514</v>
      </c>
      <c r="AP474" s="46"/>
    </row>
    <row r="475" spans="40:42">
      <c r="AN475" t="s">
        <v>2149</v>
      </c>
      <c r="AO475" s="45">
        <v>101914</v>
      </c>
      <c r="AP475" s="46"/>
    </row>
    <row r="476" spans="40:42">
      <c r="AN476" t="s">
        <v>2150</v>
      </c>
      <c r="AO476" s="45">
        <v>572922</v>
      </c>
      <c r="AP476" s="46"/>
    </row>
    <row r="477" spans="40:42">
      <c r="AN477" t="s">
        <v>2151</v>
      </c>
      <c r="AO477" s="45">
        <v>564097</v>
      </c>
      <c r="AP477" s="46"/>
    </row>
    <row r="478" spans="40:42">
      <c r="AN478" t="s">
        <v>2152</v>
      </c>
      <c r="AO478" s="45">
        <v>563855</v>
      </c>
      <c r="AP478" s="46"/>
    </row>
    <row r="479" spans="40:42">
      <c r="AN479" t="s">
        <v>2153</v>
      </c>
      <c r="AO479" s="45">
        <v>568091</v>
      </c>
      <c r="AP479" s="46"/>
    </row>
    <row r="480" spans="40:42">
      <c r="AN480" t="s">
        <v>2154</v>
      </c>
      <c r="AO480" s="45">
        <v>609462</v>
      </c>
      <c r="AP480" s="46"/>
    </row>
    <row r="481" spans="40:42">
      <c r="AN481" t="s">
        <v>2155</v>
      </c>
      <c r="AO481" s="45">
        <v>555390</v>
      </c>
      <c r="AP481" s="46"/>
    </row>
    <row r="482" spans="40:42">
      <c r="AN482" t="s">
        <v>2156</v>
      </c>
      <c r="AO482" s="45">
        <v>563884</v>
      </c>
      <c r="AP482" s="46"/>
    </row>
    <row r="483" spans="40:42">
      <c r="AN483" t="s">
        <v>2157</v>
      </c>
      <c r="AO483" s="45">
        <v>339082</v>
      </c>
      <c r="AP483" s="46"/>
    </row>
    <row r="484" spans="40:42">
      <c r="AN484" t="s">
        <v>2158</v>
      </c>
      <c r="AO484" s="45">
        <v>573260</v>
      </c>
      <c r="AP484" s="46"/>
    </row>
    <row r="485" spans="40:42">
      <c r="AN485" t="s">
        <v>2159</v>
      </c>
      <c r="AO485" s="45">
        <v>569739</v>
      </c>
      <c r="AP485" s="46"/>
    </row>
    <row r="486" spans="40:42">
      <c r="AN486" t="s">
        <v>2160</v>
      </c>
      <c r="AO486" s="45">
        <v>607239</v>
      </c>
      <c r="AP486" s="46"/>
    </row>
    <row r="487" spans="40:42">
      <c r="AN487" t="s">
        <v>2161</v>
      </c>
      <c r="AO487" s="45">
        <v>553488</v>
      </c>
      <c r="AP487" s="46"/>
    </row>
    <row r="488" spans="40:42">
      <c r="AN488" t="s">
        <v>2162</v>
      </c>
      <c r="AO488" s="45">
        <v>608015</v>
      </c>
      <c r="AP488" s="46"/>
    </row>
    <row r="489" spans="40:42">
      <c r="AN489" t="s">
        <v>2163</v>
      </c>
      <c r="AO489" s="45">
        <v>556088</v>
      </c>
      <c r="AP489" s="46"/>
    </row>
    <row r="490" spans="40:42">
      <c r="AN490" t="s">
        <v>2164</v>
      </c>
      <c r="AO490" s="45">
        <v>480434</v>
      </c>
      <c r="AP490" s="46"/>
    </row>
    <row r="491" spans="40:42">
      <c r="AN491" t="s">
        <v>2165</v>
      </c>
      <c r="AO491" s="45">
        <v>563877</v>
      </c>
      <c r="AP491" s="46"/>
    </row>
    <row r="492" spans="40:42">
      <c r="AN492" t="s">
        <v>2166</v>
      </c>
      <c r="AO492" s="45">
        <v>568092</v>
      </c>
      <c r="AP492" s="46"/>
    </row>
    <row r="493" spans="40:42">
      <c r="AN493" t="s">
        <v>2167</v>
      </c>
      <c r="AO493" s="45">
        <v>567887</v>
      </c>
      <c r="AP493" s="46"/>
    </row>
    <row r="494" spans="40:42">
      <c r="AN494" t="s">
        <v>2168</v>
      </c>
      <c r="AO494" s="45">
        <v>562243</v>
      </c>
      <c r="AP494" s="46"/>
    </row>
    <row r="495" spans="40:42">
      <c r="AN495" t="s">
        <v>2169</v>
      </c>
      <c r="AO495" s="45">
        <v>567575</v>
      </c>
      <c r="AP495" s="46"/>
    </row>
    <row r="496" spans="40:42">
      <c r="AN496" t="s">
        <v>2170</v>
      </c>
      <c r="AO496" s="45">
        <v>567597</v>
      </c>
      <c r="AP496" s="46"/>
    </row>
    <row r="497" spans="40:42">
      <c r="AN497" t="s">
        <v>2171</v>
      </c>
      <c r="AO497" s="45">
        <v>609306</v>
      </c>
      <c r="AP497" s="46"/>
    </row>
    <row r="498" spans="40:42">
      <c r="AN498" t="s">
        <v>2172</v>
      </c>
      <c r="AO498" s="45">
        <v>609307</v>
      </c>
      <c r="AP498" s="46"/>
    </row>
    <row r="499" spans="40:42">
      <c r="AN499" t="s">
        <v>2173</v>
      </c>
      <c r="AO499" s="45">
        <v>477721</v>
      </c>
      <c r="AP499" s="46"/>
    </row>
    <row r="500" spans="40:42">
      <c r="AN500" t="s">
        <v>2174</v>
      </c>
      <c r="AO500" s="45">
        <v>572115</v>
      </c>
      <c r="AP500" s="46"/>
    </row>
    <row r="501" spans="40:42">
      <c r="AN501" t="s">
        <v>2175</v>
      </c>
      <c r="AO501" s="45">
        <v>199</v>
      </c>
      <c r="AP501" s="46"/>
    </row>
    <row r="502" spans="40:42">
      <c r="AN502" t="s">
        <v>2176</v>
      </c>
      <c r="AO502" s="45">
        <v>610305</v>
      </c>
      <c r="AP502" s="46"/>
    </row>
    <row r="503" spans="40:42">
      <c r="AN503" t="s">
        <v>2177</v>
      </c>
      <c r="AO503" s="45">
        <v>480441</v>
      </c>
      <c r="AP503" s="46"/>
    </row>
    <row r="504" spans="40:42">
      <c r="AN504" t="s">
        <v>2178</v>
      </c>
      <c r="AO504" s="45">
        <v>233</v>
      </c>
      <c r="AP504" s="46"/>
    </row>
    <row r="505" spans="40:42">
      <c r="AN505" t="s">
        <v>2179</v>
      </c>
      <c r="AO505" s="45">
        <v>566661</v>
      </c>
      <c r="AP505" s="46"/>
    </row>
    <row r="506" spans="40:42">
      <c r="AN506" t="s">
        <v>2180</v>
      </c>
      <c r="AO506" s="45">
        <v>615445</v>
      </c>
      <c r="AP506" s="46"/>
    </row>
    <row r="507" spans="40:42">
      <c r="AN507" t="s">
        <v>2181</v>
      </c>
      <c r="AO507" s="45">
        <v>580542</v>
      </c>
      <c r="AP507" s="46"/>
    </row>
    <row r="508" spans="40:42">
      <c r="AN508" t="s">
        <v>2182</v>
      </c>
      <c r="AO508" s="45">
        <v>609609</v>
      </c>
      <c r="AP508" s="46"/>
    </row>
    <row r="509" spans="40:42">
      <c r="AN509" t="s">
        <v>2183</v>
      </c>
      <c r="AO509" s="45">
        <v>566405</v>
      </c>
      <c r="AP509" s="46"/>
    </row>
    <row r="510" spans="40:42">
      <c r="AN510" t="s">
        <v>2184</v>
      </c>
      <c r="AO510" s="45">
        <v>566406</v>
      </c>
      <c r="AP510" s="46"/>
    </row>
    <row r="511" spans="40:42">
      <c r="AN511" t="s">
        <v>2185</v>
      </c>
      <c r="AO511" s="45">
        <v>566404</v>
      </c>
      <c r="AP511" s="46"/>
    </row>
    <row r="512" spans="40:42">
      <c r="AN512" t="s">
        <v>2186</v>
      </c>
      <c r="AO512" s="45">
        <v>417809</v>
      </c>
      <c r="AP512" s="46"/>
    </row>
    <row r="513" spans="40:42">
      <c r="AN513" t="s">
        <v>2187</v>
      </c>
      <c r="AO513" s="45">
        <v>616916</v>
      </c>
      <c r="AP513" s="46"/>
    </row>
    <row r="514" spans="40:42">
      <c r="AN514" t="s">
        <v>2188</v>
      </c>
      <c r="AO514" s="45">
        <v>545790</v>
      </c>
      <c r="AP514" s="46"/>
    </row>
    <row r="515" spans="40:42">
      <c r="AN515" t="s">
        <v>2189</v>
      </c>
      <c r="AO515" s="45">
        <v>417798</v>
      </c>
      <c r="AP515" s="46"/>
    </row>
    <row r="516" spans="40:42">
      <c r="AN516" t="s">
        <v>2190</v>
      </c>
      <c r="AO516" s="45">
        <v>545788</v>
      </c>
      <c r="AP516" s="46"/>
    </row>
    <row r="517" spans="40:42">
      <c r="AN517" t="s">
        <v>2191</v>
      </c>
      <c r="AO517" s="45">
        <v>545789</v>
      </c>
      <c r="AP517" s="46"/>
    </row>
    <row r="518" spans="40:42">
      <c r="AN518" t="s">
        <v>2192</v>
      </c>
      <c r="AO518" s="45">
        <v>557785</v>
      </c>
      <c r="AP518" s="46"/>
    </row>
    <row r="519" spans="40:42">
      <c r="AN519" t="s">
        <v>2193</v>
      </c>
      <c r="AO519" s="45">
        <v>618498</v>
      </c>
      <c r="AP519" s="46"/>
    </row>
    <row r="520" spans="40:42">
      <c r="AN520" t="s">
        <v>2194</v>
      </c>
      <c r="AO520" s="45">
        <v>555388</v>
      </c>
      <c r="AP520" s="46"/>
    </row>
    <row r="521" spans="40:42">
      <c r="AN521" t="s">
        <v>2195</v>
      </c>
      <c r="AO521" s="45">
        <v>553492</v>
      </c>
      <c r="AP521" s="46"/>
    </row>
    <row r="522" spans="40:42">
      <c r="AN522" t="s">
        <v>2196</v>
      </c>
      <c r="AO522" s="45">
        <v>553491</v>
      </c>
      <c r="AP522" s="46"/>
    </row>
    <row r="523" spans="40:42">
      <c r="AN523" t="s">
        <v>2197</v>
      </c>
      <c r="AO523" s="45">
        <v>555779</v>
      </c>
      <c r="AP523" s="46"/>
    </row>
    <row r="524" spans="40:42">
      <c r="AN524" t="s">
        <v>2198</v>
      </c>
      <c r="AO524" s="45">
        <v>617900</v>
      </c>
      <c r="AP524" s="46"/>
    </row>
    <row r="525" spans="40:42">
      <c r="AN525" t="s">
        <v>2199</v>
      </c>
      <c r="AO525" s="45">
        <v>556571</v>
      </c>
      <c r="AP525" s="46"/>
    </row>
    <row r="526" spans="40:42">
      <c r="AN526" t="s">
        <v>2200</v>
      </c>
      <c r="AO526" s="45">
        <v>556570</v>
      </c>
      <c r="AP526" s="46"/>
    </row>
    <row r="527" spans="40:42">
      <c r="AN527" t="s">
        <v>2201</v>
      </c>
      <c r="AO527" s="45">
        <v>609140</v>
      </c>
      <c r="AP527" s="46"/>
    </row>
    <row r="528" spans="40:42">
      <c r="AN528" t="s">
        <v>2202</v>
      </c>
      <c r="AO528" s="45">
        <v>417799</v>
      </c>
      <c r="AP528" s="46"/>
    </row>
    <row r="529" spans="40:42">
      <c r="AN529" t="s">
        <v>2203</v>
      </c>
      <c r="AO529" s="45">
        <v>564252</v>
      </c>
      <c r="AP529" s="46"/>
    </row>
    <row r="530" spans="40:42">
      <c r="AN530" t="s">
        <v>2204</v>
      </c>
      <c r="AO530" s="45">
        <v>564251</v>
      </c>
      <c r="AP530" s="46"/>
    </row>
    <row r="531" spans="40:42">
      <c r="AN531" t="s">
        <v>2205</v>
      </c>
      <c r="AO531" s="45">
        <v>608377</v>
      </c>
      <c r="AP531" s="46"/>
    </row>
    <row r="532" spans="40:42">
      <c r="AN532" t="s">
        <v>2206</v>
      </c>
      <c r="AO532" s="45">
        <v>556594</v>
      </c>
      <c r="AP532" s="46"/>
    </row>
    <row r="533" spans="40:42">
      <c r="AN533" t="s">
        <v>2207</v>
      </c>
      <c r="AO533" s="45">
        <v>572639</v>
      </c>
      <c r="AP533" s="46"/>
    </row>
    <row r="534" spans="40:42">
      <c r="AN534" t="s">
        <v>2208</v>
      </c>
      <c r="AO534" s="45">
        <v>557763</v>
      </c>
      <c r="AP534" s="46"/>
    </row>
    <row r="535" spans="40:42">
      <c r="AN535" t="s">
        <v>2209</v>
      </c>
      <c r="AO535" s="45">
        <v>609439</v>
      </c>
      <c r="AP535" s="46"/>
    </row>
    <row r="536" spans="40:42">
      <c r="AN536" t="s">
        <v>2210</v>
      </c>
      <c r="AO536" s="45">
        <v>575665</v>
      </c>
      <c r="AP536" s="46"/>
    </row>
    <row r="537" spans="40:42">
      <c r="AN537" t="s">
        <v>2211</v>
      </c>
      <c r="AO537" s="45">
        <v>555735</v>
      </c>
      <c r="AP537" s="46"/>
    </row>
    <row r="538" spans="40:42">
      <c r="AN538" t="s">
        <v>2212</v>
      </c>
      <c r="AO538" s="45">
        <v>555733</v>
      </c>
      <c r="AP538" s="46"/>
    </row>
    <row r="539" spans="40:42">
      <c r="AN539" t="s">
        <v>2213</v>
      </c>
      <c r="AO539" s="45">
        <v>618565</v>
      </c>
      <c r="AP539" s="46"/>
    </row>
    <row r="540" spans="40:42">
      <c r="AN540" t="s">
        <v>2214</v>
      </c>
      <c r="AO540" s="45">
        <v>618566</v>
      </c>
      <c r="AP540" s="46"/>
    </row>
    <row r="541" spans="40:42">
      <c r="AN541" t="s">
        <v>2215</v>
      </c>
      <c r="AO541" s="45">
        <v>618567</v>
      </c>
      <c r="AP541" s="46"/>
    </row>
    <row r="542" spans="40:42">
      <c r="AN542" t="s">
        <v>2216</v>
      </c>
      <c r="AO542" s="45">
        <v>614757</v>
      </c>
      <c r="AP542" s="46"/>
    </row>
    <row r="543" spans="40:42">
      <c r="AN543" t="s">
        <v>2217</v>
      </c>
      <c r="AO543" s="45">
        <v>276</v>
      </c>
      <c r="AP543" s="46"/>
    </row>
    <row r="544" spans="40:42">
      <c r="AN544" t="s">
        <v>2218</v>
      </c>
      <c r="AO544" s="45">
        <v>614759</v>
      </c>
      <c r="AP544" s="46"/>
    </row>
    <row r="545" spans="40:42">
      <c r="AN545" t="s">
        <v>2219</v>
      </c>
      <c r="AO545" s="45">
        <v>556352</v>
      </c>
      <c r="AP545" s="46"/>
    </row>
    <row r="546" spans="40:42">
      <c r="AN546" t="s">
        <v>2220</v>
      </c>
      <c r="AO546" s="45">
        <v>572418</v>
      </c>
      <c r="AP546" s="46"/>
    </row>
    <row r="547" spans="40:42">
      <c r="AN547" t="s">
        <v>2221</v>
      </c>
      <c r="AO547" s="45">
        <v>608184</v>
      </c>
      <c r="AP547" s="46"/>
    </row>
    <row r="548" spans="40:42">
      <c r="AN548" t="s">
        <v>2222</v>
      </c>
      <c r="AO548" s="45">
        <v>614758</v>
      </c>
      <c r="AP548" s="46"/>
    </row>
    <row r="549" spans="40:42">
      <c r="AN549" t="s">
        <v>2223</v>
      </c>
      <c r="AO549" s="45">
        <v>274</v>
      </c>
      <c r="AP549" s="46"/>
    </row>
    <row r="550" spans="40:42">
      <c r="AN550" t="s">
        <v>2224</v>
      </c>
      <c r="AO550" s="45">
        <v>480438</v>
      </c>
      <c r="AP550" s="46"/>
    </row>
    <row r="551" spans="40:42">
      <c r="AN551" t="s">
        <v>2225</v>
      </c>
      <c r="AO551" s="45">
        <v>615387</v>
      </c>
      <c r="AP551" s="46"/>
    </row>
    <row r="552" spans="40:42">
      <c r="AN552" t="s">
        <v>2226</v>
      </c>
      <c r="AO552" s="45">
        <v>564020</v>
      </c>
      <c r="AP552" s="46"/>
    </row>
    <row r="553" spans="40:42">
      <c r="AN553" t="s">
        <v>2227</v>
      </c>
      <c r="AO553" s="45">
        <v>567569</v>
      </c>
      <c r="AP553" s="46"/>
    </row>
    <row r="554" spans="40:42">
      <c r="AN554" t="s">
        <v>2228</v>
      </c>
      <c r="AO554" s="45">
        <v>557062</v>
      </c>
      <c r="AP554" s="46"/>
    </row>
    <row r="555" spans="40:42">
      <c r="AN555" t="s">
        <v>2229</v>
      </c>
      <c r="AO555" s="45">
        <v>114175</v>
      </c>
      <c r="AP555" s="46"/>
    </row>
    <row r="556" spans="40:42">
      <c r="AN556" t="s">
        <v>2230</v>
      </c>
      <c r="AO556" s="45">
        <v>568109</v>
      </c>
      <c r="AP556" s="46"/>
    </row>
    <row r="557" spans="40:42">
      <c r="AN557" t="s">
        <v>2231</v>
      </c>
      <c r="AO557" s="45">
        <v>618066</v>
      </c>
      <c r="AP557" s="46"/>
    </row>
    <row r="558" spans="40:42">
      <c r="AN558" t="s">
        <v>2232</v>
      </c>
      <c r="AO558" s="45">
        <v>567690</v>
      </c>
      <c r="AP558" s="46"/>
    </row>
    <row r="559" spans="40:42">
      <c r="AN559" t="s">
        <v>2233</v>
      </c>
      <c r="AO559" s="45">
        <v>567691</v>
      </c>
      <c r="AP559" s="46"/>
    </row>
    <row r="560" spans="40:42">
      <c r="AN560" t="s">
        <v>2234</v>
      </c>
      <c r="AO560" s="45">
        <v>567688</v>
      </c>
      <c r="AP560" s="46"/>
    </row>
    <row r="561" spans="40:42">
      <c r="AN561" t="s">
        <v>2235</v>
      </c>
      <c r="AO561" s="45">
        <v>607959</v>
      </c>
      <c r="AP561" s="46"/>
    </row>
    <row r="562" spans="40:42">
      <c r="AN562" t="s">
        <v>2236</v>
      </c>
      <c r="AO562" s="45">
        <v>477731</v>
      </c>
      <c r="AP562" s="46"/>
    </row>
    <row r="563" spans="40:42">
      <c r="AN563" t="s">
        <v>2237</v>
      </c>
      <c r="AO563" s="45">
        <v>339075</v>
      </c>
      <c r="AP563" s="46"/>
    </row>
    <row r="564" spans="40:42">
      <c r="AN564" t="s">
        <v>2238</v>
      </c>
      <c r="AO564" s="45">
        <v>553429</v>
      </c>
      <c r="AP564" s="46"/>
    </row>
    <row r="565" spans="40:42">
      <c r="AN565" t="s">
        <v>2239</v>
      </c>
      <c r="AO565" s="45">
        <v>607314</v>
      </c>
      <c r="AP565" s="46"/>
    </row>
    <row r="566" spans="40:42">
      <c r="AN566" t="s">
        <v>2240</v>
      </c>
      <c r="AO566" s="45">
        <v>545799</v>
      </c>
      <c r="AP566" s="46"/>
    </row>
    <row r="567" spans="40:42">
      <c r="AN567" t="s">
        <v>2241</v>
      </c>
      <c r="AO567" s="45">
        <v>618263</v>
      </c>
      <c r="AP567" s="46"/>
    </row>
    <row r="568" spans="40:42">
      <c r="AN568" t="s">
        <v>2242</v>
      </c>
      <c r="AO568" s="45">
        <v>618262</v>
      </c>
      <c r="AP568" s="46"/>
    </row>
    <row r="569" spans="40:42">
      <c r="AN569" t="s">
        <v>2243</v>
      </c>
      <c r="AO569" s="45">
        <v>221</v>
      </c>
      <c r="AP569" s="46"/>
    </row>
    <row r="570" spans="40:42">
      <c r="AN570" t="s">
        <v>2244</v>
      </c>
      <c r="AO570" s="45">
        <v>611423</v>
      </c>
      <c r="AP570" s="46"/>
    </row>
    <row r="571" spans="40:42">
      <c r="AN571" t="s">
        <v>2245</v>
      </c>
      <c r="AO571" s="45">
        <v>618213</v>
      </c>
      <c r="AP571" s="46"/>
    </row>
    <row r="572" spans="40:42">
      <c r="AN572" t="s">
        <v>2246</v>
      </c>
      <c r="AO572" s="45">
        <v>607405</v>
      </c>
      <c r="AP572" s="46"/>
    </row>
    <row r="573" spans="40:42">
      <c r="AN573" t="s">
        <v>2247</v>
      </c>
      <c r="AO573" s="45">
        <v>606600</v>
      </c>
      <c r="AP573" s="46"/>
    </row>
    <row r="574" spans="40:42">
      <c r="AN574" t="s">
        <v>2248</v>
      </c>
      <c r="AO574" s="45">
        <v>571280</v>
      </c>
      <c r="AP574" s="46"/>
    </row>
    <row r="575" spans="40:42">
      <c r="AN575" t="s">
        <v>2249</v>
      </c>
      <c r="AO575" s="45">
        <v>609464</v>
      </c>
      <c r="AP575" s="46"/>
    </row>
    <row r="576" spans="40:42">
      <c r="AN576" t="s">
        <v>2250</v>
      </c>
      <c r="AO576" s="45">
        <v>557762</v>
      </c>
      <c r="AP576" s="46"/>
    </row>
    <row r="577" spans="40:42">
      <c r="AN577" t="s">
        <v>2251</v>
      </c>
      <c r="AO577" s="45">
        <v>573629</v>
      </c>
      <c r="AP577" s="46"/>
    </row>
    <row r="578" spans="40:42">
      <c r="AN578" t="s">
        <v>2252</v>
      </c>
      <c r="AO578" s="45">
        <v>573630</v>
      </c>
      <c r="AP578" s="46"/>
    </row>
    <row r="579" spans="40:42">
      <c r="AN579" t="s">
        <v>2253</v>
      </c>
      <c r="AO579" s="45">
        <v>564660</v>
      </c>
      <c r="AP579" s="46"/>
    </row>
    <row r="580" spans="40:42">
      <c r="AN580" t="s">
        <v>2254</v>
      </c>
      <c r="AO580" s="45">
        <v>564647</v>
      </c>
      <c r="AP580" s="46"/>
    </row>
    <row r="581" spans="40:42">
      <c r="AN581" t="s">
        <v>2255</v>
      </c>
      <c r="AO581" s="45">
        <v>564648</v>
      </c>
      <c r="AP581" s="46"/>
    </row>
    <row r="582" spans="40:42">
      <c r="AN582" t="s">
        <v>2256</v>
      </c>
      <c r="AO582" s="45">
        <v>609095</v>
      </c>
      <c r="AP582" s="46"/>
    </row>
    <row r="583" spans="40:42">
      <c r="AN583" t="s">
        <v>2257</v>
      </c>
      <c r="AO583" s="45">
        <v>566474</v>
      </c>
      <c r="AP583" s="46"/>
    </row>
    <row r="584" spans="40:42">
      <c r="AN584" t="s">
        <v>2258</v>
      </c>
      <c r="AO584" s="45">
        <v>609137</v>
      </c>
      <c r="AP584" s="46"/>
    </row>
    <row r="585" spans="40:42">
      <c r="AN585" t="s">
        <v>2259</v>
      </c>
      <c r="AO585" s="45">
        <v>606704</v>
      </c>
      <c r="AP585" s="46"/>
    </row>
    <row r="586" spans="40:42">
      <c r="AN586" t="s">
        <v>2260</v>
      </c>
      <c r="AO586" s="45">
        <v>340</v>
      </c>
      <c r="AP586" s="46"/>
    </row>
    <row r="587" spans="40:42">
      <c r="AN587" t="s">
        <v>2261</v>
      </c>
      <c r="AO587" s="45">
        <v>562214</v>
      </c>
      <c r="AP587" s="46"/>
    </row>
    <row r="588" spans="40:42">
      <c r="AN588" t="s">
        <v>2262</v>
      </c>
      <c r="AO588" s="45">
        <v>608193</v>
      </c>
      <c r="AP588" s="46"/>
    </row>
    <row r="589" spans="40:42">
      <c r="AN589" t="s">
        <v>2263</v>
      </c>
      <c r="AO589" s="45">
        <v>567508</v>
      </c>
      <c r="AP589" s="46"/>
    </row>
    <row r="590" spans="40:42">
      <c r="AN590" t="s">
        <v>2264</v>
      </c>
      <c r="AO590" s="45">
        <v>567509</v>
      </c>
      <c r="AP590" s="46"/>
    </row>
    <row r="591" spans="40:42">
      <c r="AN591" t="s">
        <v>2265</v>
      </c>
      <c r="AO591" s="45">
        <v>567507</v>
      </c>
      <c r="AP591" s="46"/>
    </row>
    <row r="592" spans="40:42">
      <c r="AN592" t="s">
        <v>2266</v>
      </c>
      <c r="AO592" s="45">
        <v>607225</v>
      </c>
      <c r="AP592" s="46"/>
    </row>
    <row r="593" spans="40:42">
      <c r="AN593" t="s">
        <v>2267</v>
      </c>
      <c r="AO593" s="45">
        <v>607226</v>
      </c>
      <c r="AP593" s="46"/>
    </row>
    <row r="594" spans="40:42">
      <c r="AN594" t="s">
        <v>2268</v>
      </c>
      <c r="AO594" s="45">
        <v>608831</v>
      </c>
      <c r="AP594" s="46"/>
    </row>
    <row r="595" spans="40:42">
      <c r="AN595" t="s">
        <v>2269</v>
      </c>
      <c r="AO595" s="45">
        <v>562168</v>
      </c>
      <c r="AP595" s="46"/>
    </row>
    <row r="596" spans="40:42">
      <c r="AN596" t="s">
        <v>2270</v>
      </c>
      <c r="AO596" s="45">
        <v>575607</v>
      </c>
      <c r="AP596" s="46"/>
    </row>
    <row r="597" spans="40:42">
      <c r="AN597" t="s">
        <v>2271</v>
      </c>
      <c r="AO597" s="45">
        <v>606602</v>
      </c>
      <c r="AP597" s="46"/>
    </row>
    <row r="598" spans="40:42">
      <c r="AN598" t="s">
        <v>2272</v>
      </c>
      <c r="AO598" s="45">
        <v>562300</v>
      </c>
      <c r="AP598" s="46"/>
    </row>
    <row r="599" spans="40:42">
      <c r="AN599" t="s">
        <v>2273</v>
      </c>
      <c r="AO599" s="45">
        <v>555296</v>
      </c>
      <c r="AP599" s="46"/>
    </row>
    <row r="600" spans="40:42">
      <c r="AN600" t="s">
        <v>2274</v>
      </c>
      <c r="AO600" s="45">
        <v>555272</v>
      </c>
      <c r="AP600" s="46"/>
    </row>
    <row r="601" spans="40:42">
      <c r="AN601" t="s">
        <v>2275</v>
      </c>
      <c r="AO601" s="45">
        <v>608641</v>
      </c>
      <c r="AP601" s="46"/>
    </row>
    <row r="602" spans="40:42">
      <c r="AN602" t="s">
        <v>2276</v>
      </c>
      <c r="AO602" s="45">
        <v>492107</v>
      </c>
      <c r="AP602" s="46"/>
    </row>
    <row r="603" spans="40:42">
      <c r="AN603" t="s">
        <v>2277</v>
      </c>
      <c r="AO603" s="45">
        <v>617465</v>
      </c>
      <c r="AP603" s="46"/>
    </row>
    <row r="604" spans="40:42">
      <c r="AN604" t="s">
        <v>2278</v>
      </c>
      <c r="AO604" s="45">
        <v>614854</v>
      </c>
      <c r="AP604" s="46"/>
    </row>
    <row r="605" spans="40:42">
      <c r="AN605" t="s">
        <v>2279</v>
      </c>
      <c r="AO605" s="45">
        <v>611691</v>
      </c>
      <c r="AP605" s="46"/>
    </row>
    <row r="606" spans="40:42">
      <c r="AN606" t="s">
        <v>2280</v>
      </c>
      <c r="AO606" s="45">
        <v>441879</v>
      </c>
      <c r="AP606" s="46"/>
    </row>
    <row r="607" spans="40:42">
      <c r="AN607" t="s">
        <v>2281</v>
      </c>
      <c r="AO607" s="45">
        <v>608312</v>
      </c>
      <c r="AP607" s="46"/>
    </row>
    <row r="608" spans="40:42">
      <c r="AN608" t="s">
        <v>2282</v>
      </c>
      <c r="AO608" s="45">
        <v>556060</v>
      </c>
      <c r="AP608" s="46"/>
    </row>
    <row r="609" spans="40:42">
      <c r="AN609" t="s">
        <v>2283</v>
      </c>
      <c r="AO609" s="45">
        <v>556019</v>
      </c>
      <c r="AP609" s="46"/>
    </row>
    <row r="610" spans="40:42">
      <c r="AN610" t="s">
        <v>2284</v>
      </c>
      <c r="AO610" s="45">
        <v>556068</v>
      </c>
      <c r="AP610" s="46"/>
    </row>
    <row r="611" spans="40:42">
      <c r="AN611" t="s">
        <v>2285</v>
      </c>
      <c r="AO611" s="45">
        <v>556018</v>
      </c>
      <c r="AP611" s="46"/>
    </row>
    <row r="612" spans="40:42">
      <c r="AN612" t="s">
        <v>2286</v>
      </c>
      <c r="AO612" s="45">
        <v>564027</v>
      </c>
      <c r="AP612" s="46"/>
    </row>
    <row r="613" spans="40:42">
      <c r="AN613" t="s">
        <v>2287</v>
      </c>
      <c r="AO613" s="45">
        <v>564250</v>
      </c>
      <c r="AP613" s="46"/>
    </row>
    <row r="614" spans="40:42">
      <c r="AN614" t="s">
        <v>2288</v>
      </c>
      <c r="AO614" s="45">
        <v>479611</v>
      </c>
      <c r="AP614" s="46"/>
    </row>
    <row r="615" spans="40:42">
      <c r="AN615" t="s">
        <v>2289</v>
      </c>
      <c r="AO615" s="45">
        <v>555859</v>
      </c>
      <c r="AP615" s="46"/>
    </row>
    <row r="616" spans="40:42">
      <c r="AN616" t="s">
        <v>2290</v>
      </c>
      <c r="AO616" s="45">
        <v>617388</v>
      </c>
      <c r="AP616" s="46"/>
    </row>
    <row r="617" spans="40:42">
      <c r="AN617" t="s">
        <v>2291</v>
      </c>
      <c r="AO617" s="45">
        <v>563881</v>
      </c>
      <c r="AP617" s="46"/>
    </row>
    <row r="618" spans="40:42">
      <c r="AN618" t="s">
        <v>2292</v>
      </c>
      <c r="AO618" s="45">
        <v>609110</v>
      </c>
      <c r="AP618" s="46"/>
    </row>
    <row r="619" spans="40:42">
      <c r="AN619" t="s">
        <v>2293</v>
      </c>
      <c r="AO619" s="45">
        <v>564635</v>
      </c>
      <c r="AP619" s="46"/>
    </row>
    <row r="620" spans="40:42">
      <c r="AN620" t="s">
        <v>2294</v>
      </c>
      <c r="AO620" s="45">
        <v>617769</v>
      </c>
      <c r="AP620" s="46"/>
    </row>
    <row r="621" spans="40:42">
      <c r="AN621" t="s">
        <v>2295</v>
      </c>
      <c r="AO621" s="45">
        <v>611874</v>
      </c>
      <c r="AP621" s="46"/>
    </row>
    <row r="622" spans="40:42">
      <c r="AN622" t="s">
        <v>2296</v>
      </c>
      <c r="AO622" s="45">
        <v>563883</v>
      </c>
      <c r="AP622" s="46"/>
    </row>
    <row r="623" spans="40:42">
      <c r="AN623" t="s">
        <v>2297</v>
      </c>
      <c r="AO623" s="45">
        <v>339078</v>
      </c>
      <c r="AP623" s="46"/>
    </row>
    <row r="624" spans="40:42">
      <c r="AN624" t="s">
        <v>2298</v>
      </c>
      <c r="AO624" s="45">
        <v>615487</v>
      </c>
      <c r="AP624" s="46"/>
    </row>
    <row r="625" spans="40:42">
      <c r="AN625" t="s">
        <v>2299</v>
      </c>
      <c r="AO625" s="45">
        <v>555819</v>
      </c>
      <c r="AP625" s="46"/>
    </row>
    <row r="626" spans="40:42">
      <c r="AN626" t="s">
        <v>2300</v>
      </c>
      <c r="AO626" s="45">
        <v>616262</v>
      </c>
      <c r="AP626" s="46"/>
    </row>
    <row r="627" spans="40:42">
      <c r="AN627" t="s">
        <v>2301</v>
      </c>
      <c r="AO627" s="45">
        <v>555817</v>
      </c>
      <c r="AP627" s="46"/>
    </row>
    <row r="628" spans="40:42">
      <c r="AN628" t="s">
        <v>2302</v>
      </c>
      <c r="AO628" s="45">
        <v>555818</v>
      </c>
      <c r="AP628" s="46"/>
    </row>
    <row r="629" spans="40:42">
      <c r="AN629" t="s">
        <v>2303</v>
      </c>
      <c r="AO629" s="45">
        <v>555858</v>
      </c>
      <c r="AP629" s="46"/>
    </row>
    <row r="630" spans="40:42">
      <c r="AN630" t="s">
        <v>2304</v>
      </c>
      <c r="AO630" s="45">
        <v>499830</v>
      </c>
      <c r="AP630" s="46"/>
    </row>
    <row r="631" spans="40:42">
      <c r="AN631" t="s">
        <v>2305</v>
      </c>
      <c r="AO631" s="45">
        <v>563880</v>
      </c>
      <c r="AP631" s="46"/>
    </row>
    <row r="632" spans="40:42">
      <c r="AN632" t="s">
        <v>2306</v>
      </c>
      <c r="AO632" s="45">
        <v>565215</v>
      </c>
      <c r="AP632" s="46"/>
    </row>
    <row r="633" spans="40:42">
      <c r="AN633" t="s">
        <v>2307</v>
      </c>
      <c r="AO633" s="45">
        <v>339092</v>
      </c>
      <c r="AP633" s="46"/>
    </row>
    <row r="634" spans="40:42">
      <c r="AN634" t="s">
        <v>2308</v>
      </c>
      <c r="AO634" s="45">
        <v>480420</v>
      </c>
      <c r="AP634" s="46"/>
    </row>
    <row r="635" spans="40:42">
      <c r="AN635" t="s">
        <v>2309</v>
      </c>
      <c r="AO635" s="45">
        <v>567149</v>
      </c>
      <c r="AP635" s="46"/>
    </row>
    <row r="636" spans="40:42">
      <c r="AN636" t="s">
        <v>2310</v>
      </c>
      <c r="AO636" s="45">
        <v>568066</v>
      </c>
      <c r="AP636" s="46"/>
    </row>
    <row r="637" spans="40:42">
      <c r="AN637" t="s">
        <v>2311</v>
      </c>
      <c r="AO637" s="32">
        <v>417715</v>
      </c>
      <c r="AP637" s="53"/>
    </row>
    <row r="638" spans="40:42">
      <c r="AN638" t="s">
        <v>2312</v>
      </c>
      <c r="AO638" s="32">
        <v>480383</v>
      </c>
      <c r="AP638" s="53"/>
    </row>
    <row r="639" spans="40:42">
      <c r="AN639" t="s">
        <v>2313</v>
      </c>
      <c r="AO639" s="32">
        <v>608290</v>
      </c>
      <c r="AP639" s="53"/>
    </row>
    <row r="640" spans="40:42">
      <c r="AN640" t="s">
        <v>2314</v>
      </c>
      <c r="AO640" s="32">
        <v>564614</v>
      </c>
      <c r="AP640" s="53"/>
    </row>
    <row r="641" spans="40:42">
      <c r="AN641" t="s">
        <v>2315</v>
      </c>
      <c r="AO641" s="32">
        <v>615790</v>
      </c>
      <c r="AP641" s="53"/>
    </row>
    <row r="642" spans="40:42">
      <c r="AN642" t="s">
        <v>2316</v>
      </c>
      <c r="AO642" s="32">
        <v>607871</v>
      </c>
      <c r="AP642" s="53"/>
    </row>
    <row r="643" spans="40:42">
      <c r="AN643" t="s">
        <v>2317</v>
      </c>
      <c r="AO643" s="32">
        <v>479625</v>
      </c>
      <c r="AP643" s="53"/>
    </row>
    <row r="644" spans="40:42">
      <c r="AN644" t="s">
        <v>2318</v>
      </c>
      <c r="AO644" s="32">
        <v>153359</v>
      </c>
      <c r="AP644" s="53"/>
    </row>
    <row r="645" spans="40:42">
      <c r="AN645" t="s">
        <v>2319</v>
      </c>
      <c r="AO645" s="32">
        <v>617428</v>
      </c>
      <c r="AP645" s="53"/>
    </row>
    <row r="646" spans="40:42">
      <c r="AN646" t="s">
        <v>2320</v>
      </c>
      <c r="AO646" s="32">
        <v>571221</v>
      </c>
      <c r="AP646" s="53"/>
    </row>
    <row r="647" spans="40:42">
      <c r="AN647" t="s">
        <v>2321</v>
      </c>
      <c r="AO647" s="32">
        <v>555331</v>
      </c>
      <c r="AP647" s="53"/>
    </row>
    <row r="648" spans="40:42">
      <c r="AN648" t="s">
        <v>2322</v>
      </c>
      <c r="AO648" s="32">
        <v>574843</v>
      </c>
      <c r="AP648" s="53"/>
    </row>
    <row r="649" spans="40:42">
      <c r="AN649" t="s">
        <v>2323</v>
      </c>
      <c r="AO649" s="32">
        <v>574846</v>
      </c>
      <c r="AP649" s="53"/>
    </row>
    <row r="650" spans="40:42">
      <c r="AN650" t="s">
        <v>2324</v>
      </c>
      <c r="AO650" s="32">
        <v>574845</v>
      </c>
      <c r="AP650" s="53"/>
    </row>
    <row r="651" spans="40:42">
      <c r="AN651" t="s">
        <v>2325</v>
      </c>
      <c r="AO651" s="32">
        <v>574842</v>
      </c>
      <c r="AP651" s="53"/>
    </row>
    <row r="652" spans="40:42">
      <c r="AN652" t="s">
        <v>2326</v>
      </c>
      <c r="AO652" s="32">
        <v>574844</v>
      </c>
      <c r="AP652" s="53"/>
    </row>
    <row r="653" spans="40:42">
      <c r="AN653" t="s">
        <v>2327</v>
      </c>
      <c r="AO653" s="32">
        <v>575606</v>
      </c>
      <c r="AP653" s="53"/>
    </row>
    <row r="654" spans="40:42">
      <c r="AN654" t="s">
        <v>2328</v>
      </c>
      <c r="AO654" s="32">
        <v>467281</v>
      </c>
      <c r="AP654" s="53"/>
    </row>
    <row r="655" spans="40:42">
      <c r="AN655" t="s">
        <v>2329</v>
      </c>
      <c r="AO655" s="32">
        <v>563713</v>
      </c>
      <c r="AP655" s="53"/>
    </row>
    <row r="656" spans="40:42">
      <c r="AN656" t="s">
        <v>2330</v>
      </c>
      <c r="AO656" s="32">
        <v>563714</v>
      </c>
      <c r="AP656" s="53"/>
    </row>
    <row r="657" spans="40:42">
      <c r="AN657" t="s">
        <v>2331</v>
      </c>
      <c r="AO657" s="32">
        <v>563773</v>
      </c>
      <c r="AP657" s="53"/>
    </row>
    <row r="658" spans="40:42">
      <c r="AN658" t="s">
        <v>2332</v>
      </c>
      <c r="AO658" s="32">
        <v>563772</v>
      </c>
      <c r="AP658" s="53"/>
    </row>
    <row r="659" spans="40:42">
      <c r="AN659" t="s">
        <v>2333</v>
      </c>
      <c r="AO659" s="32">
        <v>555681</v>
      </c>
      <c r="AP659" s="53"/>
    </row>
    <row r="660" spans="40:42">
      <c r="AN660" t="s">
        <v>2334</v>
      </c>
      <c r="AO660" s="32">
        <v>555680</v>
      </c>
      <c r="AP660" s="53"/>
    </row>
    <row r="661" spans="40:42">
      <c r="AN661" t="s">
        <v>2335</v>
      </c>
      <c r="AO661" s="32">
        <v>609077</v>
      </c>
      <c r="AP661" s="53"/>
    </row>
    <row r="662" spans="40:42">
      <c r="AN662" t="s">
        <v>2336</v>
      </c>
      <c r="AO662" s="32">
        <v>575500</v>
      </c>
      <c r="AP662" s="53"/>
    </row>
    <row r="663" spans="40:42">
      <c r="AN663" t="s">
        <v>2337</v>
      </c>
      <c r="AO663" s="32">
        <v>575499</v>
      </c>
      <c r="AP663" s="53"/>
    </row>
    <row r="664" spans="40:42">
      <c r="AN664" t="s">
        <v>2338</v>
      </c>
      <c r="AO664" s="32">
        <v>563890</v>
      </c>
      <c r="AP664" s="53"/>
    </row>
    <row r="665" spans="40:42">
      <c r="AN665" t="s">
        <v>2339</v>
      </c>
      <c r="AO665" s="32">
        <v>235</v>
      </c>
      <c r="AP665" s="53"/>
    </row>
    <row r="666" spans="40:42">
      <c r="AN666" t="s">
        <v>2340</v>
      </c>
      <c r="AO666" s="32">
        <v>617345</v>
      </c>
      <c r="AP666" s="53"/>
    </row>
    <row r="667" spans="40:42">
      <c r="AN667" t="s">
        <v>2341</v>
      </c>
      <c r="AO667" s="32">
        <v>557784</v>
      </c>
      <c r="AP667" s="53"/>
    </row>
    <row r="668" spans="40:42">
      <c r="AN668" t="s">
        <v>2342</v>
      </c>
      <c r="AO668" s="32">
        <v>572609</v>
      </c>
      <c r="AP668" s="53"/>
    </row>
    <row r="669" spans="40:42">
      <c r="AN669" t="s">
        <v>2343</v>
      </c>
      <c r="AO669" s="32">
        <v>564636</v>
      </c>
      <c r="AP669" s="53"/>
    </row>
    <row r="670" spans="40:42">
      <c r="AN670" t="s">
        <v>2344</v>
      </c>
      <c r="AO670" s="32">
        <v>557805</v>
      </c>
      <c r="AP670" s="53"/>
    </row>
    <row r="671" spans="40:42">
      <c r="AN671" t="s">
        <v>2345</v>
      </c>
      <c r="AO671" s="32">
        <v>557810</v>
      </c>
      <c r="AP671" s="53"/>
    </row>
    <row r="672" spans="40:42">
      <c r="AN672" t="s">
        <v>2346</v>
      </c>
      <c r="AO672" s="32">
        <v>306</v>
      </c>
      <c r="AP672" s="53"/>
    </row>
    <row r="673" spans="40:42">
      <c r="AN673" t="s">
        <v>2347</v>
      </c>
      <c r="AO673" s="32">
        <v>563873</v>
      </c>
      <c r="AP673" s="53"/>
    </row>
    <row r="674" spans="40:42">
      <c r="AN674" t="s">
        <v>2348</v>
      </c>
      <c r="AO674" s="32">
        <v>570074</v>
      </c>
      <c r="AP674" s="53"/>
    </row>
    <row r="675" spans="40:42">
      <c r="AN675" t="s">
        <v>2349</v>
      </c>
      <c r="AO675" s="32">
        <v>609637</v>
      </c>
      <c r="AP675" s="53"/>
    </row>
    <row r="676" spans="40:42">
      <c r="AN676" t="s">
        <v>2350</v>
      </c>
      <c r="AO676" s="32">
        <v>606607</v>
      </c>
      <c r="AP676" s="53"/>
    </row>
    <row r="677" spans="40:42">
      <c r="AN677" t="s">
        <v>2351</v>
      </c>
      <c r="AO677" s="32">
        <v>565305</v>
      </c>
      <c r="AP677" s="53"/>
    </row>
    <row r="678" spans="40:42">
      <c r="AN678" t="s">
        <v>2352</v>
      </c>
      <c r="AO678" s="32">
        <v>616919</v>
      </c>
      <c r="AP678" s="53"/>
    </row>
    <row r="679" spans="40:42">
      <c r="AN679" t="s">
        <v>2353</v>
      </c>
      <c r="AO679" s="32">
        <v>566476</v>
      </c>
      <c r="AP679" s="53"/>
    </row>
    <row r="680" spans="40:42">
      <c r="AN680" t="s">
        <v>2354</v>
      </c>
      <c r="AO680" s="32">
        <v>470662</v>
      </c>
      <c r="AP680" s="53"/>
    </row>
    <row r="681" spans="40:42">
      <c r="AN681" t="s">
        <v>2355</v>
      </c>
      <c r="AO681" s="32">
        <v>618481</v>
      </c>
      <c r="AP681" s="53"/>
    </row>
    <row r="682" spans="40:42">
      <c r="AO682" s="32"/>
      <c r="AP682" s="53"/>
    </row>
    <row r="683" spans="40:42">
      <c r="AO683" s="32"/>
      <c r="AP683" s="53"/>
    </row>
    <row r="684" spans="40:42">
      <c r="AO684" s="32"/>
      <c r="AP684" s="53"/>
    </row>
    <row r="685" spans="40:42">
      <c r="AO685" s="32"/>
      <c r="AP685" s="53"/>
    </row>
    <row r="686" spans="40:42">
      <c r="AO686" s="32"/>
      <c r="AP686" s="53"/>
    </row>
    <row r="687" spans="40:42">
      <c r="AO687" s="32"/>
      <c r="AP687" s="53"/>
    </row>
    <row r="688" spans="40:42">
      <c r="AO688" s="32"/>
      <c r="AP688" s="53"/>
    </row>
    <row r="689" spans="41:42">
      <c r="AO689" s="32"/>
      <c r="AP689" s="53"/>
    </row>
    <row r="690" spans="41:42">
      <c r="AO690" s="32"/>
      <c r="AP690" s="53"/>
    </row>
    <row r="691" spans="41:42">
      <c r="AO691" s="32"/>
      <c r="AP691" s="53"/>
    </row>
    <row r="692" spans="41:42">
      <c r="AO692" s="32"/>
      <c r="AP692" s="53"/>
    </row>
    <row r="693" spans="41:42">
      <c r="AO693" s="32"/>
      <c r="AP693" s="53"/>
    </row>
    <row r="694" spans="41:42">
      <c r="AO694" s="32"/>
      <c r="AP694" s="53"/>
    </row>
    <row r="695" spans="41:42">
      <c r="AO695" s="32"/>
      <c r="AP695" s="53"/>
    </row>
    <row r="696" spans="41:42">
      <c r="AO696" s="32"/>
      <c r="AP696" s="53"/>
    </row>
    <row r="697" spans="41:42">
      <c r="AO697" s="32"/>
      <c r="AP697" s="53"/>
    </row>
    <row r="698" spans="41:42">
      <c r="AO698" s="32"/>
      <c r="AP698" s="53"/>
    </row>
    <row r="699" spans="41:42">
      <c r="AO699" s="32"/>
      <c r="AP699" s="53"/>
    </row>
    <row r="700" spans="41:42">
      <c r="AO700" s="32"/>
      <c r="AP700" s="53"/>
    </row>
    <row r="701" spans="41:42">
      <c r="AO701" s="32"/>
      <c r="AP701" s="53"/>
    </row>
    <row r="702" spans="41:42">
      <c r="AO702" s="32"/>
      <c r="AP702" s="53"/>
    </row>
    <row r="703" spans="41:42">
      <c r="AO703" s="32"/>
      <c r="AP703" s="53"/>
    </row>
    <row r="704" spans="41:42">
      <c r="AO704" s="32"/>
      <c r="AP704" s="53"/>
    </row>
    <row r="705" spans="41:42">
      <c r="AO705" s="32"/>
      <c r="AP705" s="53"/>
    </row>
    <row r="706" spans="41:42">
      <c r="AO706" s="32"/>
      <c r="AP706" s="53"/>
    </row>
    <row r="707" spans="41:42">
      <c r="AO707" s="32"/>
      <c r="AP707" s="53"/>
    </row>
    <row r="708" spans="41:42">
      <c r="AO708" s="32"/>
      <c r="AP708" s="53"/>
    </row>
    <row r="709" spans="41:42">
      <c r="AO709" s="32"/>
      <c r="AP709" s="53"/>
    </row>
    <row r="710" spans="41:42">
      <c r="AO710" s="32"/>
      <c r="AP710" s="53"/>
    </row>
    <row r="711" spans="41:42">
      <c r="AO711" s="32"/>
      <c r="AP711" s="53"/>
    </row>
    <row r="712" spans="41:42">
      <c r="AO712" s="32"/>
      <c r="AP712" s="53"/>
    </row>
    <row r="713" spans="41:42">
      <c r="AO713" s="32"/>
      <c r="AP713" s="53"/>
    </row>
    <row r="714" spans="41:42">
      <c r="AO714" s="32"/>
      <c r="AP714" s="53"/>
    </row>
    <row r="715" spans="41:42">
      <c r="AO715" s="32"/>
      <c r="AP715" s="53"/>
    </row>
    <row r="716" spans="41:42">
      <c r="AO716" s="32"/>
      <c r="AP716" s="53"/>
    </row>
    <row r="717" spans="41:42">
      <c r="AO717" s="32"/>
      <c r="AP717" s="53"/>
    </row>
    <row r="718" spans="41:42">
      <c r="AO718" s="32"/>
      <c r="AP718" s="53"/>
    </row>
    <row r="719" spans="41:42">
      <c r="AO719" s="32"/>
      <c r="AP719" s="53"/>
    </row>
    <row r="720" spans="41:42">
      <c r="AO720" s="32"/>
      <c r="AP720" s="53"/>
    </row>
    <row r="721" spans="41:42">
      <c r="AO721" s="32"/>
      <c r="AP721" s="53"/>
    </row>
    <row r="722" spans="41:42">
      <c r="AO722" s="32"/>
      <c r="AP722" s="53"/>
    </row>
    <row r="723" spans="41:42">
      <c r="AO723" s="32"/>
      <c r="AP723" s="53"/>
    </row>
    <row r="724" spans="41:42">
      <c r="AO724" s="32"/>
      <c r="AP724" s="53"/>
    </row>
  </sheetData>
  <pageMargins left="0.7" right="0.7" top="0.75" bottom="0.75" header="0.3" footer="0.3"/>
  <pageSetup paperSize="9" orientation="portrait"/>
  <headerFooter>
    <oddHeader>&amp;R&amp;"Calibri"&amp;1 &amp;K0000FF Internal Document#_x000D_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G8"/>
  <sheetViews>
    <sheetView workbookViewId="0">
      <selection activeCell="C37" sqref="C37"/>
    </sheetView>
  </sheetViews>
  <sheetFormatPr baseColWidth="10" defaultColWidth="8.83203125" defaultRowHeight="15"/>
  <cols>
    <col min="1" max="1" width="48.83203125" customWidth="1"/>
  </cols>
  <sheetData>
    <row r="4" spans="1:7">
      <c r="A4" s="38" t="s">
        <v>2356</v>
      </c>
      <c r="B4" s="39" t="s">
        <v>2357</v>
      </c>
    </row>
    <row r="6" spans="1:7">
      <c r="B6" t="s">
        <v>0</v>
      </c>
      <c r="C6" t="s">
        <v>1</v>
      </c>
      <c r="D6" t="s">
        <v>2</v>
      </c>
      <c r="E6" t="s">
        <v>3</v>
      </c>
      <c r="F6" t="s">
        <v>4</v>
      </c>
      <c r="G6" t="s">
        <v>5</v>
      </c>
    </row>
    <row r="7" spans="1:7">
      <c r="B7" t="s">
        <v>22</v>
      </c>
      <c r="C7" t="s">
        <v>1042</v>
      </c>
      <c r="D7" t="s">
        <v>21</v>
      </c>
      <c r="E7" t="s">
        <v>18</v>
      </c>
      <c r="F7" t="s">
        <v>16</v>
      </c>
      <c r="G7" t="s">
        <v>23</v>
      </c>
    </row>
    <row r="8" spans="1:7">
      <c r="A8" s="40" t="s">
        <v>2358</v>
      </c>
      <c r="B8" t="e">
        <v>#N/A</v>
      </c>
    </row>
  </sheetData>
  <hyperlinks>
    <hyperlink ref="B4" r:id="rId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62"/>
  </sheetPr>
  <dimension ref="A1:AA178"/>
  <sheetViews>
    <sheetView showGridLines="0" tabSelected="1" topLeftCell="A19" zoomScale="147" zoomScaleNormal="147" workbookViewId="0">
      <selection activeCell="L36" sqref="L36"/>
    </sheetView>
  </sheetViews>
  <sheetFormatPr baseColWidth="10" defaultColWidth="9.1640625" defaultRowHeight="14" outlineLevelRow="1" outlineLevelCol="1"/>
  <cols>
    <col min="1" max="1" width="3.83203125" style="4" customWidth="1" outlineLevel="1"/>
    <col min="2" max="2" width="39.1640625" style="6" customWidth="1"/>
    <col min="3" max="3" width="26.83203125" style="7" bestFit="1" customWidth="1"/>
    <col min="4" max="4" width="17.33203125" style="1" customWidth="1"/>
    <col min="5" max="9" width="7" style="1" customWidth="1"/>
    <col min="10" max="11" width="7" style="4" customWidth="1"/>
    <col min="12" max="12" width="8.33203125" style="4" customWidth="1"/>
    <col min="13" max="15" width="8.33203125" style="4" customWidth="1" outlineLevel="1"/>
    <col min="16" max="25" width="10.6640625" style="4" customWidth="1" outlineLevel="1"/>
    <col min="26" max="26" width="9.1640625" style="4" customWidth="1"/>
    <col min="27" max="16384" width="9.1640625" style="4"/>
  </cols>
  <sheetData>
    <row r="1" spans="2:11" ht="25" customHeight="1" thickBot="1">
      <c r="B1" s="2"/>
      <c r="C1" s="3"/>
      <c r="D1" s="4"/>
      <c r="E1" s="4"/>
      <c r="F1" s="4"/>
      <c r="G1" s="4"/>
      <c r="H1" s="4"/>
      <c r="I1" s="4"/>
    </row>
    <row r="2" spans="2:11" ht="33.75" customHeight="1">
      <c r="B2" s="56" t="s">
        <v>1488</v>
      </c>
      <c r="C2" s="67" t="s">
        <v>2359</v>
      </c>
      <c r="D2" s="4"/>
      <c r="E2" s="4"/>
      <c r="F2" s="4"/>
      <c r="G2" s="4"/>
      <c r="H2" s="4"/>
      <c r="I2" s="4"/>
    </row>
    <row r="3" spans="2:11" ht="14.5" customHeight="1" thickBot="1">
      <c r="B3" s="57" t="s">
        <v>1599</v>
      </c>
      <c r="C3" s="68" t="s">
        <v>1191</v>
      </c>
      <c r="D3" s="4"/>
      <c r="E3" s="4"/>
      <c r="F3" s="4"/>
      <c r="G3" s="4"/>
      <c r="H3" s="4"/>
      <c r="I3" s="4"/>
    </row>
    <row r="4" spans="2:11" ht="15.75" customHeight="1" thickBot="1">
      <c r="B4" s="2"/>
      <c r="C4" s="3"/>
      <c r="D4" s="3"/>
      <c r="E4" s="3"/>
      <c r="F4" s="3"/>
      <c r="G4" s="3"/>
      <c r="H4" s="3"/>
      <c r="I4" s="3"/>
    </row>
    <row r="5" spans="2:11" ht="79.5" customHeight="1" thickBot="1">
      <c r="B5" s="58" t="s">
        <v>1407</v>
      </c>
      <c r="C5" s="69" t="s">
        <v>938</v>
      </c>
      <c r="D5" s="70"/>
      <c r="E5" s="70"/>
      <c r="F5" s="70"/>
      <c r="G5" s="70"/>
      <c r="H5" s="70"/>
      <c r="I5" s="71"/>
    </row>
    <row r="6" spans="2:11" ht="15.75" customHeight="1" thickBot="1">
      <c r="B6" s="2"/>
      <c r="C6" s="3"/>
      <c r="D6" s="4"/>
      <c r="E6" s="4"/>
      <c r="F6" s="4"/>
      <c r="G6" s="4"/>
      <c r="H6" s="4"/>
      <c r="I6" s="4"/>
    </row>
    <row r="7" spans="2:11" ht="27.75" customHeight="1">
      <c r="B7" s="59" t="s">
        <v>1240</v>
      </c>
      <c r="C7" s="72" t="s">
        <v>43</v>
      </c>
      <c r="D7" s="73"/>
      <c r="E7" s="73"/>
      <c r="F7" s="73"/>
      <c r="G7" s="73"/>
      <c r="H7" s="73"/>
      <c r="I7" s="74"/>
    </row>
    <row r="8" spans="2:11" ht="26.25" customHeight="1">
      <c r="B8" s="61" t="s">
        <v>1294</v>
      </c>
      <c r="C8" s="83" t="s">
        <v>72</v>
      </c>
      <c r="D8" s="84"/>
      <c r="E8" s="84"/>
      <c r="F8" s="84"/>
      <c r="G8" s="84"/>
      <c r="H8" s="84"/>
      <c r="I8" s="85"/>
    </row>
    <row r="9" spans="2:11" ht="20.5" customHeight="1" thickBot="1">
      <c r="B9" s="64" t="s">
        <v>1614</v>
      </c>
      <c r="C9" s="75">
        <v>1</v>
      </c>
      <c r="D9" s="76"/>
      <c r="E9" s="76"/>
      <c r="F9" s="76"/>
      <c r="G9" s="76"/>
      <c r="H9" s="76"/>
      <c r="I9" s="89"/>
      <c r="K9" s="54"/>
    </row>
    <row r="10" spans="2:11" ht="15.5" customHeight="1" thickBot="1">
      <c r="B10" s="65" t="s">
        <v>1607</v>
      </c>
      <c r="C10" s="77" t="s">
        <v>1010</v>
      </c>
      <c r="D10" s="4"/>
      <c r="E10" s="4"/>
      <c r="F10" s="4"/>
      <c r="G10" s="4"/>
      <c r="H10" s="4"/>
      <c r="I10" s="4"/>
    </row>
    <row r="11" spans="2:11" ht="15.75" customHeight="1" thickBot="1">
      <c r="B11" s="2"/>
      <c r="C11" s="3"/>
      <c r="D11" s="4"/>
      <c r="E11" s="4"/>
      <c r="F11" s="4"/>
      <c r="G11" s="4"/>
      <c r="H11" s="4"/>
      <c r="I11" s="4"/>
    </row>
    <row r="12" spans="2:11" ht="15" customHeight="1">
      <c r="B12" s="63" t="s">
        <v>1153</v>
      </c>
      <c r="C12" s="88" t="s">
        <v>947</v>
      </c>
      <c r="D12" s="4"/>
      <c r="E12" s="4"/>
      <c r="F12" s="4"/>
      <c r="G12" s="4"/>
      <c r="H12" s="4"/>
      <c r="I12" s="4"/>
    </row>
    <row r="13" spans="2:11" ht="15" customHeight="1">
      <c r="B13" s="61" t="s">
        <v>1136</v>
      </c>
      <c r="C13" s="78" t="s">
        <v>983</v>
      </c>
      <c r="D13" s="4"/>
      <c r="E13" s="4"/>
      <c r="F13" s="4"/>
      <c r="G13" s="4"/>
      <c r="H13" s="4"/>
      <c r="I13" s="4"/>
    </row>
    <row r="14" spans="2:11" ht="15" customHeight="1">
      <c r="B14" s="61" t="s">
        <v>969</v>
      </c>
      <c r="C14" s="79" t="s">
        <v>944</v>
      </c>
      <c r="D14" s="4"/>
      <c r="E14" s="4"/>
      <c r="F14" s="4"/>
      <c r="G14" s="4"/>
      <c r="H14" s="4"/>
      <c r="I14" s="4"/>
    </row>
    <row r="15" spans="2:11" ht="15.75" customHeight="1" thickBot="1">
      <c r="B15" s="62" t="s">
        <v>1188</v>
      </c>
      <c r="C15" s="68" t="s">
        <v>945</v>
      </c>
      <c r="D15" s="4"/>
      <c r="E15" s="4"/>
      <c r="F15" s="4"/>
      <c r="G15" s="4"/>
      <c r="H15" s="4"/>
      <c r="I15" s="4"/>
    </row>
    <row r="16" spans="2:11" ht="15" customHeight="1">
      <c r="B16" s="2"/>
      <c r="C16" s="5"/>
      <c r="D16" s="4"/>
      <c r="E16" s="4"/>
      <c r="F16" s="4"/>
      <c r="G16" s="4"/>
      <c r="H16" s="4"/>
      <c r="I16" s="4"/>
    </row>
    <row r="17" spans="2:9" ht="15.75" customHeight="1" thickBot="1">
      <c r="B17" s="2"/>
      <c r="C17" s="3"/>
      <c r="D17" s="4"/>
      <c r="E17" s="4"/>
      <c r="F17" s="4"/>
      <c r="G17" s="4"/>
      <c r="H17" s="4"/>
      <c r="I17" s="4"/>
    </row>
    <row r="18" spans="2:9" ht="15" customHeight="1">
      <c r="B18" s="60" t="s">
        <v>1068</v>
      </c>
      <c r="C18" s="80" t="s">
        <v>136</v>
      </c>
      <c r="D18" s="4"/>
      <c r="E18" s="4"/>
      <c r="F18" s="4"/>
      <c r="G18" s="4"/>
      <c r="H18" s="4"/>
      <c r="I18" s="4"/>
    </row>
    <row r="19" spans="2:9" ht="15" customHeight="1">
      <c r="B19" s="61" t="s">
        <v>1355</v>
      </c>
      <c r="C19" s="79" t="s">
        <v>63</v>
      </c>
      <c r="D19" s="4"/>
      <c r="E19" s="4"/>
      <c r="F19" s="4"/>
      <c r="G19" s="4"/>
      <c r="H19" s="4"/>
      <c r="I19" s="4"/>
    </row>
    <row r="20" spans="2:9" ht="15" customHeight="1">
      <c r="B20" s="61" t="s">
        <v>1117</v>
      </c>
      <c r="C20" s="79" t="s">
        <v>135</v>
      </c>
      <c r="D20" s="4"/>
      <c r="E20" s="4"/>
      <c r="F20" s="4"/>
      <c r="G20" s="4"/>
      <c r="H20" s="4"/>
      <c r="I20" s="4"/>
    </row>
    <row r="21" spans="2:9" ht="15" customHeight="1">
      <c r="B21" s="61" t="s">
        <v>76</v>
      </c>
      <c r="C21" s="79" t="s">
        <v>135</v>
      </c>
      <c r="D21" s="4"/>
      <c r="E21" s="4"/>
      <c r="F21" s="4"/>
      <c r="G21" s="4"/>
      <c r="H21" s="4"/>
      <c r="I21" s="4"/>
    </row>
    <row r="22" spans="2:9" ht="15" customHeight="1">
      <c r="B22" s="61" t="s">
        <v>333</v>
      </c>
      <c r="C22" s="79" t="s">
        <v>135</v>
      </c>
      <c r="D22" s="4"/>
      <c r="E22" s="4"/>
      <c r="F22" s="4"/>
      <c r="G22" s="4"/>
      <c r="H22" s="4"/>
      <c r="I22" s="4"/>
    </row>
    <row r="23" spans="2:9" ht="15" customHeight="1">
      <c r="B23" s="61" t="s">
        <v>1480</v>
      </c>
      <c r="C23" s="79" t="s">
        <v>136</v>
      </c>
      <c r="D23" s="4"/>
      <c r="E23" s="4"/>
      <c r="F23" s="4"/>
      <c r="G23" s="4"/>
      <c r="H23" s="4"/>
      <c r="I23" s="4"/>
    </row>
    <row r="24" spans="2:9" ht="15" customHeight="1">
      <c r="B24" s="61" t="s">
        <v>1005</v>
      </c>
      <c r="C24" s="79" t="s">
        <v>162</v>
      </c>
      <c r="D24" s="4"/>
      <c r="E24" s="4"/>
      <c r="F24" s="4"/>
      <c r="G24" s="4"/>
      <c r="H24" s="4"/>
      <c r="I24" s="4"/>
    </row>
    <row r="25" spans="2:9" ht="15.75" customHeight="1" thickBot="1">
      <c r="B25" s="62" t="s">
        <v>1038</v>
      </c>
      <c r="C25" s="68"/>
      <c r="D25" s="4"/>
      <c r="E25" s="4"/>
      <c r="F25" s="4"/>
      <c r="G25" s="4"/>
      <c r="H25" s="4"/>
      <c r="I25" s="4"/>
    </row>
    <row r="26" spans="2:9" ht="15.75" customHeight="1" thickBot="1">
      <c r="D26" s="4"/>
      <c r="E26" s="4"/>
      <c r="F26" s="4"/>
      <c r="G26" s="4"/>
      <c r="H26" s="4"/>
      <c r="I26" s="4"/>
    </row>
    <row r="27" spans="2:9" ht="15" customHeight="1">
      <c r="B27" s="60" t="s">
        <v>1220</v>
      </c>
      <c r="C27" s="80" t="s">
        <v>182</v>
      </c>
      <c r="D27" s="4"/>
      <c r="E27" s="4"/>
      <c r="F27" s="4"/>
      <c r="G27" s="4"/>
      <c r="H27" s="4"/>
      <c r="I27" s="4"/>
    </row>
    <row r="28" spans="2:9" ht="15" customHeight="1">
      <c r="B28" s="61" t="s">
        <v>1381</v>
      </c>
      <c r="C28" s="79" t="s">
        <v>172</v>
      </c>
      <c r="D28" s="4"/>
      <c r="E28" s="4"/>
      <c r="F28" s="4"/>
      <c r="G28" s="4"/>
      <c r="H28" s="4"/>
      <c r="I28" s="4"/>
    </row>
    <row r="29" spans="2:9" ht="15" customHeight="1">
      <c r="B29" s="61" t="s">
        <v>1168</v>
      </c>
      <c r="C29" s="79" t="s">
        <v>162</v>
      </c>
      <c r="D29" s="4"/>
      <c r="E29" s="4"/>
      <c r="F29" s="4"/>
      <c r="G29" s="4"/>
      <c r="H29" s="4"/>
      <c r="I29" s="4"/>
    </row>
    <row r="30" spans="2:9" ht="15" customHeight="1">
      <c r="B30" s="61" t="s">
        <v>1093</v>
      </c>
      <c r="C30" s="79" t="s">
        <v>172</v>
      </c>
      <c r="D30" s="4"/>
      <c r="E30" s="4"/>
      <c r="F30" s="4"/>
      <c r="G30" s="4"/>
      <c r="H30" s="4"/>
      <c r="I30" s="4"/>
    </row>
    <row r="31" spans="2:9" ht="15.75" customHeight="1" thickBot="1">
      <c r="B31" s="62" t="s">
        <v>1105</v>
      </c>
      <c r="C31" s="68" t="s">
        <v>1122</v>
      </c>
      <c r="D31" s="4"/>
      <c r="E31" s="4"/>
      <c r="F31" s="4"/>
      <c r="G31" s="4"/>
      <c r="H31" s="4"/>
      <c r="I31" s="4"/>
    </row>
    <row r="32" spans="2:9" ht="15" customHeight="1">
      <c r="B32" s="2"/>
      <c r="C32" s="3"/>
      <c r="D32" s="4"/>
      <c r="E32" s="4"/>
      <c r="F32" s="4"/>
      <c r="G32" s="4"/>
      <c r="H32" s="4"/>
      <c r="I32" s="4"/>
    </row>
    <row r="33" spans="2:27" ht="15" customHeight="1">
      <c r="B33" s="2"/>
      <c r="C33" s="3"/>
      <c r="D33" s="4"/>
      <c r="E33" s="4"/>
      <c r="F33" s="4"/>
      <c r="G33" s="4"/>
      <c r="H33" s="4"/>
      <c r="I33" s="4"/>
    </row>
    <row r="34" spans="2:27" ht="21.75" customHeight="1" thickBot="1">
      <c r="B34" s="2"/>
      <c r="C34" s="3"/>
      <c r="D34" s="4"/>
      <c r="E34" s="4"/>
      <c r="F34" s="4"/>
      <c r="G34" s="4"/>
      <c r="H34" s="4"/>
      <c r="I34" s="4"/>
    </row>
    <row r="35" spans="2:27" ht="15.75" customHeight="1" thickBot="1">
      <c r="B35" s="66" t="s">
        <v>962</v>
      </c>
      <c r="C35" s="55">
        <v>2018</v>
      </c>
      <c r="D35" s="55">
        <v>2019</v>
      </c>
      <c r="E35" s="55">
        <v>2020</v>
      </c>
      <c r="F35" s="55">
        <v>2021</v>
      </c>
      <c r="G35" s="55">
        <v>2022</v>
      </c>
      <c r="H35" s="55">
        <v>2023</v>
      </c>
      <c r="I35" s="55">
        <v>2024</v>
      </c>
      <c r="J35" s="55" t="s">
        <v>2360</v>
      </c>
      <c r="K35" s="55" t="s">
        <v>2361</v>
      </c>
      <c r="L35" s="55" t="s">
        <v>2362</v>
      </c>
      <c r="Z35" s="81"/>
    </row>
    <row r="36" spans="2:27" ht="15.75" customHeight="1" thickBot="1">
      <c r="B36" s="15" t="s">
        <v>951</v>
      </c>
      <c r="C36" s="86">
        <v>27.329000000000011</v>
      </c>
      <c r="D36" s="86">
        <v>27.329000000000011</v>
      </c>
      <c r="E36" s="86">
        <v>27.329000000000011</v>
      </c>
      <c r="F36" s="86">
        <v>4.8620000000000001</v>
      </c>
      <c r="G36" s="86">
        <v>4.8620000000000001</v>
      </c>
      <c r="H36" s="86">
        <v>4.8620000000000001</v>
      </c>
      <c r="I36" s="86">
        <v>36.799999999999969</v>
      </c>
      <c r="J36" s="86">
        <v>36.799999999999969</v>
      </c>
      <c r="K36" s="86">
        <v>18.491252599999999</v>
      </c>
      <c r="L36" s="86">
        <v>18.491252599999999</v>
      </c>
      <c r="M36" s="82" t="s">
        <v>2363</v>
      </c>
      <c r="AA36" s="13"/>
    </row>
    <row r="37" spans="2:27" ht="15.75" customHeight="1" thickBot="1">
      <c r="B37" s="15" t="s">
        <v>988</v>
      </c>
      <c r="C37" s="86">
        <v>18.491252599999999</v>
      </c>
      <c r="D37" s="86">
        <v>18.491252599999999</v>
      </c>
      <c r="E37" s="86">
        <v>18.491252599999999</v>
      </c>
      <c r="F37" s="86">
        <v>18.491252599999999</v>
      </c>
      <c r="G37" s="86">
        <v>18.491252599999999</v>
      </c>
      <c r="H37" s="86">
        <v>18.491252599999999</v>
      </c>
      <c r="I37" s="86">
        <v>36.799999999999969</v>
      </c>
      <c r="J37" s="86">
        <v>36.799999999999969</v>
      </c>
      <c r="K37" s="86">
        <v>18.491252599999999</v>
      </c>
      <c r="L37" s="86">
        <v>18.491252599999999</v>
      </c>
      <c r="M37" s="82" t="s">
        <v>2363</v>
      </c>
      <c r="AA37" s="13"/>
    </row>
    <row r="38" spans="2:27" ht="15.75" customHeight="1" outlineLevel="1" thickBot="1">
      <c r="B38" s="15" t="s">
        <v>1023</v>
      </c>
      <c r="C38" s="86">
        <v>22</v>
      </c>
      <c r="D38" s="86">
        <v>22</v>
      </c>
      <c r="E38" s="86">
        <v>22</v>
      </c>
      <c r="F38" s="86">
        <v>36.799999999999969</v>
      </c>
      <c r="G38" s="86">
        <v>36.799999999999969</v>
      </c>
      <c r="H38" s="86">
        <v>27.329000000000011</v>
      </c>
      <c r="I38" s="86">
        <v>29</v>
      </c>
      <c r="J38" s="86">
        <v>29</v>
      </c>
      <c r="K38" s="86">
        <v>29</v>
      </c>
      <c r="L38" s="86">
        <v>9</v>
      </c>
      <c r="M38" s="82" t="s">
        <v>2363</v>
      </c>
      <c r="AA38" s="13"/>
    </row>
    <row r="39" spans="2:27" ht="15.75" customHeight="1" outlineLevel="1" thickBot="1">
      <c r="B39" s="15" t="s">
        <v>1052</v>
      </c>
      <c r="C39" s="86">
        <v>27.329000000000011</v>
      </c>
      <c r="D39" s="86">
        <v>27.329000000000011</v>
      </c>
      <c r="E39" s="86">
        <v>27.329000000000011</v>
      </c>
      <c r="F39" s="86">
        <v>36.799999999999969</v>
      </c>
      <c r="G39" s="86">
        <v>36.799999999999969</v>
      </c>
      <c r="H39" s="87" t="s">
        <v>2364</v>
      </c>
      <c r="I39" s="86">
        <v>27.329000000000011</v>
      </c>
      <c r="J39" s="86">
        <v>27.329000000000011</v>
      </c>
      <c r="K39" s="86">
        <v>27.329000000000011</v>
      </c>
      <c r="L39" s="86">
        <v>4.8620000000000001</v>
      </c>
      <c r="M39" s="82" t="s">
        <v>2363</v>
      </c>
      <c r="AA39" s="13"/>
    </row>
    <row r="40" spans="2:27" ht="15.75" customHeight="1" thickBot="1">
      <c r="B40" s="15" t="s">
        <v>1080</v>
      </c>
      <c r="C40" s="86">
        <v>21.53185742374875</v>
      </c>
      <c r="D40" s="86">
        <v>21.53185742374875</v>
      </c>
      <c r="E40" s="86">
        <v>21.53185742374875</v>
      </c>
      <c r="F40" s="86">
        <v>21.53185742374875</v>
      </c>
      <c r="G40" s="86">
        <v>4.8620000000000001</v>
      </c>
      <c r="H40" s="86">
        <v>4.8620000000000001</v>
      </c>
      <c r="I40" s="86">
        <v>4.8620000000000001</v>
      </c>
      <c r="J40" s="86">
        <v>4.8620000000000001</v>
      </c>
      <c r="K40" s="86">
        <v>4.8620000000000001</v>
      </c>
      <c r="L40" s="86">
        <v>4.8620000000000001</v>
      </c>
      <c r="M40" s="82" t="s">
        <v>2363</v>
      </c>
      <c r="AA40" s="13"/>
    </row>
    <row r="41" spans="2:27" ht="15.75" customHeight="1" thickBot="1">
      <c r="B41" s="33" t="s">
        <v>1105</v>
      </c>
      <c r="C41" s="86">
        <v>4.8620000000000001</v>
      </c>
      <c r="D41" s="86">
        <v>4.8620000000000001</v>
      </c>
      <c r="E41" s="86">
        <v>4.8620000000000001</v>
      </c>
      <c r="F41" s="86">
        <v>21.53185742374875</v>
      </c>
      <c r="G41" s="86">
        <v>21.53185742374875</v>
      </c>
      <c r="H41" s="86">
        <v>21.53185742374875</v>
      </c>
      <c r="I41" s="86">
        <v>21.53185742374875</v>
      </c>
      <c r="J41" s="86">
        <v>21.53185742374875</v>
      </c>
      <c r="K41" s="86">
        <v>21.53185742374875</v>
      </c>
      <c r="L41" s="86">
        <v>23</v>
      </c>
      <c r="M41" s="82" t="s">
        <v>2363</v>
      </c>
      <c r="AA41" s="13"/>
    </row>
    <row r="42" spans="2:27" ht="15.75" customHeight="1" thickTop="1">
      <c r="B42" s="2"/>
      <c r="C42" s="3"/>
      <c r="D42" s="4"/>
      <c r="E42" s="4"/>
      <c r="F42" s="4"/>
      <c r="G42" s="4"/>
      <c r="H42" s="4"/>
      <c r="I42" s="4"/>
    </row>
    <row r="43" spans="2:27">
      <c r="B43" s="2"/>
      <c r="C43" s="3"/>
      <c r="D43" s="4"/>
      <c r="E43" s="4"/>
      <c r="F43" s="4"/>
      <c r="G43" s="4"/>
      <c r="H43" s="4"/>
      <c r="I43" s="4"/>
    </row>
    <row r="44" spans="2:27">
      <c r="B44" s="2"/>
      <c r="C44" s="3"/>
      <c r="D44" s="4"/>
      <c r="E44" s="4"/>
      <c r="F44" s="4"/>
      <c r="G44" s="4"/>
      <c r="H44" s="4"/>
      <c r="I44" s="4"/>
    </row>
    <row r="45" spans="2:27">
      <c r="B45" s="2"/>
      <c r="C45" s="3"/>
      <c r="D45" s="4"/>
      <c r="E45" s="4"/>
      <c r="F45" s="4"/>
      <c r="G45" s="4"/>
      <c r="H45" s="4"/>
      <c r="I45" s="4"/>
    </row>
    <row r="46" spans="2:27">
      <c r="B46" s="2"/>
      <c r="C46" s="3"/>
      <c r="D46" s="4"/>
      <c r="E46" s="4"/>
      <c r="F46" s="4"/>
      <c r="G46" s="4"/>
      <c r="H46" s="4"/>
      <c r="I46" s="4"/>
    </row>
    <row r="47" spans="2:27">
      <c r="B47" s="2"/>
      <c r="C47" s="3"/>
      <c r="D47" s="4"/>
      <c r="E47" s="4"/>
      <c r="F47" s="4"/>
      <c r="G47" s="4"/>
      <c r="H47" s="4"/>
      <c r="I47" s="4"/>
    </row>
    <row r="48" spans="2:27">
      <c r="B48" s="2"/>
      <c r="C48" s="3"/>
      <c r="D48" s="4"/>
      <c r="E48" s="4"/>
      <c r="F48" s="4"/>
      <c r="G48" s="4"/>
      <c r="H48" s="4"/>
      <c r="I48" s="4"/>
    </row>
    <row r="49" spans="2:9">
      <c r="B49" s="2"/>
      <c r="C49" s="3"/>
      <c r="D49" s="4"/>
      <c r="E49" s="4"/>
      <c r="F49" s="4"/>
      <c r="G49" s="4"/>
      <c r="H49" s="4"/>
      <c r="I49" s="4"/>
    </row>
    <row r="50" spans="2:9">
      <c r="B50" s="2"/>
      <c r="C50" s="3"/>
      <c r="D50" s="4"/>
      <c r="E50" s="4"/>
      <c r="F50" s="4"/>
      <c r="G50" s="4"/>
      <c r="H50" s="4"/>
      <c r="I50" s="4"/>
    </row>
    <row r="51" spans="2:9">
      <c r="B51" s="2"/>
      <c r="C51" s="3"/>
      <c r="D51" s="4"/>
      <c r="E51" s="4"/>
      <c r="F51" s="4"/>
      <c r="G51" s="4"/>
      <c r="H51" s="4"/>
      <c r="I51" s="4"/>
    </row>
    <row r="52" spans="2:9">
      <c r="B52" s="2"/>
      <c r="C52" s="3"/>
      <c r="D52" s="4"/>
      <c r="E52" s="4"/>
      <c r="F52" s="4"/>
      <c r="G52" s="4"/>
      <c r="H52" s="4"/>
      <c r="I52" s="4"/>
    </row>
    <row r="53" spans="2:9">
      <c r="B53" s="2"/>
      <c r="C53" s="3"/>
      <c r="D53" s="4"/>
      <c r="E53" s="4"/>
      <c r="F53" s="4"/>
      <c r="G53" s="4"/>
      <c r="H53" s="4"/>
      <c r="I53" s="4"/>
    </row>
    <row r="54" spans="2:9">
      <c r="B54" s="2"/>
      <c r="C54" s="3"/>
      <c r="D54" s="4"/>
      <c r="E54" s="4"/>
      <c r="F54" s="4"/>
      <c r="G54" s="4"/>
      <c r="H54" s="4"/>
      <c r="I54" s="4"/>
    </row>
    <row r="55" spans="2:9">
      <c r="B55" s="2"/>
      <c r="C55" s="3"/>
      <c r="D55" s="4"/>
      <c r="E55" s="4"/>
      <c r="F55" s="4"/>
      <c r="G55" s="4"/>
      <c r="H55" s="4"/>
      <c r="I55" s="4"/>
    </row>
    <row r="56" spans="2:9">
      <c r="B56" s="2"/>
      <c r="C56" s="3"/>
      <c r="D56" s="4"/>
      <c r="E56" s="4"/>
      <c r="F56" s="4"/>
      <c r="G56" s="4"/>
      <c r="H56" s="4"/>
      <c r="I56" s="4"/>
    </row>
    <row r="57" spans="2:9">
      <c r="B57" s="2"/>
      <c r="C57" s="3"/>
      <c r="D57" s="4"/>
      <c r="E57" s="4"/>
      <c r="F57" s="4"/>
      <c r="G57" s="4"/>
      <c r="H57" s="4"/>
      <c r="I57" s="4"/>
    </row>
    <row r="58" spans="2:9">
      <c r="B58" s="2"/>
      <c r="C58" s="3"/>
      <c r="D58" s="4"/>
      <c r="E58" s="4"/>
      <c r="F58" s="4"/>
      <c r="G58" s="4"/>
      <c r="H58" s="4"/>
      <c r="I58" s="4"/>
    </row>
    <row r="59" spans="2:9">
      <c r="B59" s="2"/>
      <c r="C59" s="3"/>
      <c r="D59" s="4"/>
      <c r="E59" s="4"/>
      <c r="F59" s="4"/>
      <c r="G59" s="4"/>
      <c r="H59" s="4"/>
      <c r="I59" s="4"/>
    </row>
    <row r="60" spans="2:9">
      <c r="B60" s="2"/>
      <c r="C60" s="3"/>
      <c r="D60" s="4"/>
      <c r="E60" s="4"/>
      <c r="F60" s="4"/>
      <c r="G60" s="4"/>
      <c r="H60" s="4"/>
      <c r="I60" s="4"/>
    </row>
    <row r="61" spans="2:9">
      <c r="B61" s="2"/>
      <c r="C61" s="3"/>
      <c r="D61" s="4"/>
      <c r="E61" s="4"/>
      <c r="F61" s="4"/>
      <c r="G61" s="4"/>
      <c r="H61" s="4"/>
      <c r="I61" s="4"/>
    </row>
    <row r="62" spans="2:9">
      <c r="B62" s="2"/>
      <c r="C62" s="3"/>
      <c r="D62" s="4"/>
      <c r="E62" s="4"/>
      <c r="F62" s="4"/>
      <c r="G62" s="4"/>
      <c r="H62" s="4"/>
      <c r="I62" s="4"/>
    </row>
    <row r="63" spans="2:9">
      <c r="B63" s="2"/>
      <c r="C63" s="3"/>
      <c r="D63" s="4"/>
      <c r="E63" s="4"/>
      <c r="F63" s="4"/>
      <c r="G63" s="4"/>
      <c r="H63" s="4"/>
      <c r="I63" s="4"/>
    </row>
    <row r="64" spans="2:9">
      <c r="B64" s="2"/>
      <c r="C64" s="3"/>
      <c r="D64" s="4"/>
      <c r="E64" s="4"/>
      <c r="F64" s="4"/>
      <c r="G64" s="4"/>
      <c r="H64" s="4"/>
      <c r="I64" s="4"/>
    </row>
    <row r="65" spans="2:9">
      <c r="B65" s="2"/>
      <c r="C65" s="3"/>
      <c r="D65" s="4"/>
      <c r="E65" s="4"/>
      <c r="F65" s="4"/>
      <c r="G65" s="4"/>
      <c r="H65" s="4"/>
      <c r="I65" s="4"/>
    </row>
    <row r="66" spans="2:9">
      <c r="B66" s="2"/>
      <c r="C66" s="3"/>
      <c r="D66" s="4"/>
      <c r="E66" s="4"/>
      <c r="F66" s="4"/>
      <c r="G66" s="4"/>
      <c r="H66" s="4"/>
      <c r="I66" s="4"/>
    </row>
    <row r="67" spans="2:9">
      <c r="B67" s="2"/>
      <c r="C67" s="3"/>
      <c r="D67" s="4"/>
      <c r="E67" s="4"/>
      <c r="F67" s="4"/>
      <c r="G67" s="4"/>
      <c r="H67" s="4"/>
      <c r="I67" s="4"/>
    </row>
    <row r="68" spans="2:9">
      <c r="B68" s="2"/>
      <c r="C68" s="3"/>
      <c r="D68" s="4"/>
      <c r="E68" s="4"/>
      <c r="F68" s="4"/>
      <c r="G68" s="4"/>
      <c r="H68" s="4"/>
      <c r="I68" s="4"/>
    </row>
    <row r="69" spans="2:9">
      <c r="B69" s="2"/>
      <c r="C69" s="3"/>
      <c r="D69" s="4"/>
      <c r="E69" s="4"/>
      <c r="F69" s="4"/>
      <c r="G69" s="4"/>
      <c r="H69" s="4"/>
      <c r="I69" s="4"/>
    </row>
    <row r="70" spans="2:9">
      <c r="B70" s="2"/>
      <c r="C70" s="3"/>
      <c r="D70" s="4"/>
      <c r="E70" s="4"/>
      <c r="F70" s="4"/>
      <c r="G70" s="4"/>
      <c r="H70" s="4"/>
      <c r="I70" s="4"/>
    </row>
    <row r="71" spans="2:9">
      <c r="B71" s="2"/>
      <c r="C71" s="3"/>
      <c r="D71" s="4"/>
      <c r="E71" s="4"/>
      <c r="F71" s="4"/>
      <c r="G71" s="4"/>
      <c r="H71" s="4"/>
      <c r="I71" s="4"/>
    </row>
    <row r="72" spans="2:9">
      <c r="B72" s="2"/>
      <c r="C72" s="3"/>
      <c r="D72" s="4"/>
      <c r="E72" s="4"/>
      <c r="F72" s="4"/>
      <c r="G72" s="4"/>
      <c r="H72" s="4"/>
      <c r="I72" s="4"/>
    </row>
    <row r="73" spans="2:9">
      <c r="B73" s="2"/>
      <c r="C73" s="3"/>
      <c r="D73" s="4"/>
      <c r="E73" s="4"/>
      <c r="F73" s="4"/>
      <c r="G73" s="4"/>
      <c r="H73" s="4"/>
      <c r="I73" s="4"/>
    </row>
    <row r="74" spans="2:9">
      <c r="B74" s="2"/>
      <c r="C74" s="3"/>
      <c r="D74" s="4"/>
      <c r="E74" s="4"/>
      <c r="F74" s="4"/>
      <c r="G74" s="4"/>
      <c r="H74" s="4"/>
      <c r="I74" s="4"/>
    </row>
    <row r="75" spans="2:9">
      <c r="B75" s="2"/>
      <c r="C75" s="3"/>
      <c r="D75" s="4"/>
      <c r="E75" s="4"/>
      <c r="F75" s="4"/>
      <c r="G75" s="4"/>
      <c r="H75" s="4"/>
      <c r="I75" s="4"/>
    </row>
    <row r="76" spans="2:9">
      <c r="B76" s="2"/>
      <c r="C76" s="3"/>
      <c r="D76" s="4"/>
      <c r="E76" s="4"/>
      <c r="F76" s="4"/>
      <c r="G76" s="4"/>
      <c r="H76" s="4"/>
      <c r="I76" s="4"/>
    </row>
    <row r="77" spans="2:9">
      <c r="B77" s="2"/>
      <c r="C77" s="3"/>
      <c r="D77" s="4"/>
      <c r="E77" s="4"/>
      <c r="F77" s="4"/>
      <c r="G77" s="4"/>
      <c r="H77" s="4"/>
      <c r="I77" s="4"/>
    </row>
    <row r="78" spans="2:9">
      <c r="B78" s="2"/>
      <c r="C78" s="3"/>
      <c r="D78" s="4"/>
      <c r="E78" s="4"/>
      <c r="F78" s="4"/>
      <c r="G78" s="4"/>
      <c r="H78" s="4"/>
      <c r="I78" s="4"/>
    </row>
    <row r="79" spans="2:9">
      <c r="B79" s="2"/>
      <c r="C79" s="3"/>
      <c r="D79" s="4"/>
      <c r="E79" s="4"/>
      <c r="F79" s="4"/>
      <c r="G79" s="4"/>
      <c r="H79" s="4"/>
      <c r="I79" s="4"/>
    </row>
    <row r="80" spans="2:9">
      <c r="B80" s="2"/>
      <c r="C80" s="3"/>
      <c r="D80" s="4"/>
      <c r="E80" s="4"/>
      <c r="F80" s="4"/>
      <c r="G80" s="4"/>
      <c r="H80" s="4"/>
      <c r="I80" s="4"/>
    </row>
    <row r="81" spans="2:9">
      <c r="B81" s="2"/>
      <c r="C81" s="3"/>
      <c r="D81" s="4"/>
      <c r="E81" s="4"/>
      <c r="F81" s="4"/>
      <c r="G81" s="4"/>
      <c r="H81" s="4"/>
      <c r="I81" s="4"/>
    </row>
    <row r="82" spans="2:9">
      <c r="B82" s="2"/>
      <c r="C82" s="3"/>
      <c r="D82" s="4"/>
      <c r="E82" s="4"/>
      <c r="F82" s="4"/>
      <c r="G82" s="4"/>
      <c r="H82" s="4"/>
      <c r="I82" s="4"/>
    </row>
    <row r="83" spans="2:9">
      <c r="B83" s="2"/>
      <c r="C83" s="3"/>
      <c r="D83" s="4"/>
      <c r="E83" s="4"/>
      <c r="F83" s="4"/>
      <c r="G83" s="4"/>
      <c r="H83" s="4"/>
      <c r="I83" s="4"/>
    </row>
    <row r="84" spans="2:9">
      <c r="B84" s="2"/>
      <c r="C84" s="3"/>
      <c r="D84" s="4"/>
      <c r="E84" s="4"/>
      <c r="F84" s="4"/>
      <c r="G84" s="4"/>
      <c r="H84" s="4"/>
      <c r="I84" s="4"/>
    </row>
    <row r="85" spans="2:9">
      <c r="B85" s="2"/>
      <c r="C85" s="3"/>
      <c r="D85" s="4"/>
      <c r="E85" s="4"/>
      <c r="F85" s="4"/>
      <c r="G85" s="4"/>
      <c r="H85" s="4"/>
      <c r="I85" s="4"/>
    </row>
    <row r="86" spans="2:9">
      <c r="B86" s="2"/>
      <c r="C86" s="3"/>
      <c r="D86" s="4"/>
      <c r="E86" s="4"/>
      <c r="F86" s="4"/>
      <c r="G86" s="4"/>
      <c r="H86" s="4"/>
      <c r="I86" s="4"/>
    </row>
    <row r="87" spans="2:9">
      <c r="B87" s="2"/>
      <c r="C87" s="3"/>
      <c r="D87" s="4"/>
      <c r="E87" s="4"/>
      <c r="F87" s="4"/>
      <c r="G87" s="4"/>
      <c r="H87" s="4"/>
      <c r="I87" s="4"/>
    </row>
    <row r="88" spans="2:9">
      <c r="B88" s="2"/>
      <c r="C88" s="3"/>
      <c r="D88" s="4"/>
      <c r="E88" s="4"/>
      <c r="F88" s="4"/>
      <c r="G88" s="4"/>
      <c r="H88" s="4"/>
      <c r="I88" s="4"/>
    </row>
    <row r="89" spans="2:9">
      <c r="B89" s="2"/>
      <c r="C89" s="3"/>
      <c r="D89" s="4"/>
      <c r="E89" s="4"/>
      <c r="F89" s="4"/>
      <c r="G89" s="4"/>
      <c r="H89" s="4"/>
      <c r="I89" s="4"/>
    </row>
    <row r="90" spans="2:9">
      <c r="B90" s="2"/>
      <c r="C90" s="3"/>
      <c r="D90" s="4"/>
      <c r="E90" s="4"/>
      <c r="F90" s="4"/>
      <c r="G90" s="4"/>
      <c r="H90" s="4"/>
      <c r="I90" s="4"/>
    </row>
    <row r="91" spans="2:9">
      <c r="B91" s="2"/>
      <c r="C91" s="3"/>
      <c r="D91" s="4"/>
      <c r="E91" s="4"/>
      <c r="F91" s="4"/>
      <c r="G91" s="4"/>
      <c r="H91" s="4"/>
      <c r="I91" s="4"/>
    </row>
    <row r="92" spans="2:9">
      <c r="B92" s="2"/>
      <c r="C92" s="3"/>
      <c r="D92" s="4"/>
      <c r="E92" s="4"/>
      <c r="F92" s="4"/>
      <c r="G92" s="4"/>
      <c r="H92" s="4"/>
      <c r="I92" s="4"/>
    </row>
    <row r="93" spans="2:9">
      <c r="B93" s="2"/>
      <c r="C93" s="3"/>
      <c r="D93" s="4"/>
      <c r="E93" s="4"/>
      <c r="F93" s="4"/>
      <c r="G93" s="4"/>
      <c r="H93" s="4"/>
      <c r="I93" s="4"/>
    </row>
    <row r="94" spans="2:9">
      <c r="B94" s="2"/>
      <c r="C94" s="3"/>
      <c r="D94" s="4"/>
      <c r="E94" s="4"/>
      <c r="F94" s="4"/>
      <c r="G94" s="4"/>
      <c r="H94" s="4"/>
      <c r="I94" s="4"/>
    </row>
    <row r="95" spans="2:9">
      <c r="B95" s="2"/>
      <c r="C95" s="3"/>
      <c r="D95" s="4"/>
      <c r="E95" s="4"/>
      <c r="F95" s="4"/>
      <c r="G95" s="4"/>
      <c r="H95" s="4"/>
      <c r="I95" s="4"/>
    </row>
    <row r="96" spans="2:9">
      <c r="B96" s="2"/>
      <c r="C96" s="3"/>
      <c r="D96" s="4"/>
      <c r="E96" s="4"/>
      <c r="F96" s="4"/>
      <c r="G96" s="4"/>
      <c r="H96" s="4"/>
      <c r="I96" s="4"/>
    </row>
    <row r="97" spans="2:9">
      <c r="B97" s="2"/>
      <c r="C97" s="3"/>
      <c r="D97" s="4"/>
      <c r="E97" s="4"/>
      <c r="F97" s="4"/>
      <c r="G97" s="4"/>
      <c r="H97" s="4"/>
      <c r="I97" s="4"/>
    </row>
    <row r="98" spans="2:9">
      <c r="B98" s="2"/>
      <c r="C98" s="3"/>
      <c r="D98" s="4"/>
      <c r="E98" s="4"/>
      <c r="F98" s="4"/>
      <c r="G98" s="4"/>
      <c r="H98" s="4"/>
      <c r="I98" s="4"/>
    </row>
    <row r="99" spans="2:9">
      <c r="B99" s="2"/>
      <c r="C99" s="3"/>
      <c r="D99" s="4"/>
      <c r="E99" s="4"/>
      <c r="F99" s="4"/>
      <c r="G99" s="4"/>
      <c r="H99" s="4"/>
      <c r="I99" s="4"/>
    </row>
    <row r="100" spans="2:9">
      <c r="B100" s="2"/>
      <c r="C100" s="3"/>
      <c r="D100" s="4"/>
      <c r="E100" s="4"/>
      <c r="F100" s="4"/>
      <c r="G100" s="4"/>
      <c r="H100" s="4"/>
      <c r="I100" s="4"/>
    </row>
    <row r="101" spans="2:9">
      <c r="B101" s="2"/>
      <c r="C101" s="3"/>
      <c r="D101" s="4"/>
      <c r="E101" s="4"/>
      <c r="F101" s="4"/>
      <c r="G101" s="4"/>
      <c r="H101" s="4"/>
      <c r="I101" s="4"/>
    </row>
    <row r="102" spans="2:9">
      <c r="B102" s="2"/>
      <c r="C102" s="3"/>
      <c r="D102" s="4"/>
      <c r="E102" s="4"/>
      <c r="F102" s="4"/>
      <c r="G102" s="4"/>
      <c r="H102" s="4"/>
      <c r="I102" s="4"/>
    </row>
    <row r="103" spans="2:9">
      <c r="B103" s="2"/>
      <c r="C103" s="3"/>
      <c r="D103" s="4"/>
      <c r="E103" s="4"/>
      <c r="F103" s="4"/>
      <c r="G103" s="4"/>
      <c r="H103" s="4"/>
      <c r="I103" s="4"/>
    </row>
    <row r="104" spans="2:9">
      <c r="B104" s="2"/>
      <c r="C104" s="3"/>
      <c r="D104" s="4"/>
      <c r="E104" s="4"/>
      <c r="F104" s="4"/>
      <c r="G104" s="4"/>
      <c r="H104" s="4"/>
      <c r="I104" s="4"/>
    </row>
    <row r="105" spans="2:9">
      <c r="B105" s="2"/>
      <c r="C105" s="3"/>
      <c r="D105" s="4"/>
      <c r="E105" s="4"/>
      <c r="F105" s="4"/>
      <c r="G105" s="4"/>
      <c r="H105" s="4"/>
      <c r="I105" s="4"/>
    </row>
    <row r="106" spans="2:9">
      <c r="B106" s="2"/>
      <c r="C106" s="3"/>
      <c r="D106" s="4"/>
      <c r="E106" s="4"/>
      <c r="F106" s="4"/>
      <c r="G106" s="4"/>
      <c r="H106" s="4"/>
      <c r="I106" s="4"/>
    </row>
    <row r="107" spans="2:9">
      <c r="B107" s="2"/>
      <c r="C107" s="3"/>
      <c r="D107" s="4"/>
      <c r="E107" s="4"/>
      <c r="F107" s="4"/>
      <c r="G107" s="4"/>
      <c r="H107" s="4"/>
      <c r="I107" s="4"/>
    </row>
    <row r="108" spans="2:9">
      <c r="B108" s="2"/>
      <c r="C108" s="3"/>
      <c r="D108" s="4"/>
      <c r="E108" s="4"/>
      <c r="F108" s="4"/>
      <c r="G108" s="4"/>
      <c r="H108" s="4"/>
      <c r="I108" s="4"/>
    </row>
    <row r="109" spans="2:9">
      <c r="B109" s="2"/>
      <c r="C109" s="3"/>
      <c r="D109" s="4"/>
      <c r="E109" s="4"/>
      <c r="F109" s="4"/>
      <c r="G109" s="4"/>
      <c r="H109" s="4"/>
      <c r="I109" s="4"/>
    </row>
    <row r="110" spans="2:9">
      <c r="B110" s="2"/>
      <c r="C110" s="3"/>
      <c r="D110" s="4"/>
      <c r="E110" s="4"/>
      <c r="F110" s="4"/>
      <c r="G110" s="4"/>
      <c r="H110" s="4"/>
      <c r="I110" s="4"/>
    </row>
    <row r="111" spans="2:9">
      <c r="B111" s="2"/>
      <c r="C111" s="3"/>
      <c r="D111" s="4"/>
      <c r="E111" s="4"/>
      <c r="F111" s="4"/>
      <c r="G111" s="4"/>
      <c r="H111" s="4"/>
      <c r="I111" s="4"/>
    </row>
    <row r="112" spans="2:9">
      <c r="B112" s="2"/>
      <c r="C112" s="3"/>
      <c r="D112" s="4"/>
      <c r="E112" s="4"/>
      <c r="F112" s="4"/>
      <c r="G112" s="4"/>
      <c r="H112" s="4"/>
      <c r="I112" s="4"/>
    </row>
    <row r="113" spans="2:9">
      <c r="B113" s="2"/>
      <c r="C113" s="3"/>
      <c r="D113" s="4"/>
      <c r="E113" s="4"/>
      <c r="F113" s="4"/>
      <c r="G113" s="4"/>
      <c r="H113" s="4"/>
      <c r="I113" s="4"/>
    </row>
    <row r="114" spans="2:9">
      <c r="B114" s="2"/>
      <c r="C114" s="3"/>
      <c r="D114" s="4"/>
      <c r="E114" s="4"/>
      <c r="F114" s="4"/>
      <c r="G114" s="4"/>
      <c r="H114" s="4"/>
      <c r="I114" s="4"/>
    </row>
    <row r="115" spans="2:9">
      <c r="B115" s="2"/>
      <c r="C115" s="3"/>
      <c r="D115" s="4"/>
      <c r="E115" s="4"/>
      <c r="F115" s="4"/>
      <c r="G115" s="4"/>
      <c r="H115" s="4"/>
      <c r="I115" s="4"/>
    </row>
    <row r="116" spans="2:9">
      <c r="B116" s="2"/>
      <c r="C116" s="3"/>
      <c r="D116" s="4"/>
      <c r="E116" s="4"/>
      <c r="F116" s="4"/>
      <c r="G116" s="4"/>
      <c r="H116" s="4"/>
      <c r="I116" s="4"/>
    </row>
    <row r="117" spans="2:9">
      <c r="B117" s="2"/>
      <c r="C117" s="3"/>
      <c r="D117" s="4"/>
      <c r="E117" s="4"/>
      <c r="F117" s="4"/>
      <c r="G117" s="4"/>
      <c r="H117" s="4"/>
      <c r="I117" s="4"/>
    </row>
    <row r="118" spans="2:9">
      <c r="B118" s="2"/>
      <c r="C118" s="3"/>
      <c r="D118" s="4"/>
      <c r="E118" s="4"/>
      <c r="F118" s="4"/>
      <c r="G118" s="4"/>
      <c r="H118" s="4"/>
      <c r="I118" s="4"/>
    </row>
    <row r="119" spans="2:9">
      <c r="B119" s="2"/>
      <c r="C119" s="3"/>
      <c r="D119" s="4"/>
      <c r="E119" s="4"/>
      <c r="F119" s="4"/>
      <c r="G119" s="4"/>
      <c r="H119" s="4"/>
      <c r="I119" s="4"/>
    </row>
    <row r="120" spans="2:9">
      <c r="B120" s="2"/>
      <c r="C120" s="3"/>
      <c r="D120" s="4"/>
      <c r="E120" s="4"/>
      <c r="F120" s="4"/>
      <c r="G120" s="4"/>
      <c r="H120" s="4"/>
      <c r="I120" s="4"/>
    </row>
    <row r="121" spans="2:9">
      <c r="B121" s="2"/>
      <c r="C121" s="3"/>
      <c r="D121" s="4"/>
      <c r="E121" s="4"/>
      <c r="F121" s="4"/>
      <c r="G121" s="4"/>
      <c r="H121" s="4"/>
      <c r="I121" s="4"/>
    </row>
    <row r="122" spans="2:9">
      <c r="B122" s="2"/>
      <c r="C122" s="3"/>
      <c r="D122" s="4"/>
      <c r="E122" s="4"/>
      <c r="F122" s="4"/>
      <c r="G122" s="4"/>
      <c r="H122" s="4"/>
      <c r="I122" s="4"/>
    </row>
    <row r="123" spans="2:9">
      <c r="B123" s="2"/>
      <c r="C123" s="3"/>
      <c r="D123" s="4"/>
      <c r="E123" s="4"/>
      <c r="F123" s="4"/>
      <c r="G123" s="4"/>
      <c r="H123" s="4"/>
      <c r="I123" s="4"/>
    </row>
    <row r="124" spans="2:9">
      <c r="B124" s="2"/>
      <c r="C124" s="3"/>
      <c r="D124" s="4"/>
      <c r="E124" s="4"/>
      <c r="F124" s="4"/>
      <c r="G124" s="4"/>
      <c r="H124" s="4"/>
      <c r="I124" s="4"/>
    </row>
    <row r="125" spans="2:9">
      <c r="B125" s="2"/>
      <c r="C125" s="3"/>
      <c r="D125" s="4"/>
      <c r="E125" s="4"/>
      <c r="F125" s="4"/>
      <c r="G125" s="4"/>
      <c r="H125" s="4"/>
      <c r="I125" s="4"/>
    </row>
    <row r="126" spans="2:9">
      <c r="B126" s="2"/>
      <c r="C126" s="3"/>
      <c r="D126" s="4"/>
      <c r="E126" s="4"/>
      <c r="F126" s="4"/>
      <c r="G126" s="4"/>
      <c r="H126" s="4"/>
      <c r="I126" s="4"/>
    </row>
    <row r="127" spans="2:9">
      <c r="B127" s="2"/>
      <c r="C127" s="3"/>
      <c r="D127" s="4"/>
      <c r="E127" s="4"/>
      <c r="F127" s="4"/>
      <c r="G127" s="4"/>
      <c r="H127" s="4"/>
      <c r="I127" s="4"/>
    </row>
    <row r="128" spans="2:9">
      <c r="B128" s="2"/>
      <c r="C128" s="3"/>
      <c r="D128" s="4"/>
      <c r="E128" s="4"/>
      <c r="F128" s="4"/>
      <c r="G128" s="4"/>
      <c r="H128" s="4"/>
      <c r="I128" s="4"/>
    </row>
    <row r="129" spans="2:9">
      <c r="B129" s="2"/>
      <c r="C129" s="3"/>
      <c r="D129" s="4"/>
      <c r="E129" s="4"/>
      <c r="F129" s="4"/>
      <c r="G129" s="4"/>
      <c r="H129" s="4"/>
      <c r="I129" s="4"/>
    </row>
    <row r="130" spans="2:9">
      <c r="B130" s="2"/>
      <c r="C130" s="3"/>
      <c r="D130" s="4"/>
      <c r="E130" s="4"/>
      <c r="F130" s="4"/>
      <c r="G130" s="4"/>
      <c r="H130" s="4"/>
      <c r="I130" s="4"/>
    </row>
    <row r="131" spans="2:9">
      <c r="B131" s="2"/>
      <c r="C131" s="3"/>
      <c r="D131" s="4"/>
      <c r="E131" s="4"/>
      <c r="F131" s="4"/>
      <c r="G131" s="4"/>
      <c r="H131" s="4"/>
      <c r="I131" s="4"/>
    </row>
    <row r="132" spans="2:9">
      <c r="B132" s="2"/>
      <c r="C132" s="3"/>
      <c r="D132" s="4"/>
      <c r="E132" s="4"/>
      <c r="F132" s="4"/>
      <c r="G132" s="4"/>
      <c r="H132" s="4"/>
      <c r="I132" s="4"/>
    </row>
    <row r="133" spans="2:9">
      <c r="B133" s="2"/>
      <c r="C133" s="3"/>
      <c r="D133" s="4"/>
      <c r="E133" s="4"/>
      <c r="F133" s="4"/>
      <c r="G133" s="4"/>
      <c r="H133" s="4"/>
      <c r="I133" s="4"/>
    </row>
    <row r="134" spans="2:9">
      <c r="B134" s="2"/>
      <c r="C134" s="3"/>
      <c r="D134" s="4"/>
      <c r="E134" s="4"/>
      <c r="F134" s="4"/>
      <c r="G134" s="4"/>
      <c r="H134" s="4"/>
      <c r="I134" s="4"/>
    </row>
    <row r="135" spans="2:9">
      <c r="B135" s="2"/>
      <c r="C135" s="3"/>
      <c r="D135" s="4"/>
      <c r="E135" s="4"/>
      <c r="F135" s="4"/>
      <c r="G135" s="4"/>
      <c r="H135" s="4"/>
      <c r="I135" s="4"/>
    </row>
    <row r="136" spans="2:9">
      <c r="B136" s="2"/>
      <c r="C136" s="3"/>
      <c r="D136" s="4"/>
      <c r="E136" s="4"/>
      <c r="F136" s="4"/>
      <c r="G136" s="4"/>
      <c r="H136" s="4"/>
      <c r="I136" s="4"/>
    </row>
    <row r="137" spans="2:9">
      <c r="B137" s="2"/>
      <c r="C137" s="3"/>
      <c r="D137" s="4"/>
      <c r="E137" s="4"/>
      <c r="F137" s="4"/>
      <c r="G137" s="4"/>
      <c r="H137" s="4"/>
      <c r="I137" s="4"/>
    </row>
    <row r="138" spans="2:9">
      <c r="B138" s="2"/>
      <c r="C138" s="3"/>
      <c r="D138" s="4"/>
      <c r="E138" s="4"/>
      <c r="F138" s="4"/>
      <c r="G138" s="4"/>
      <c r="H138" s="4"/>
      <c r="I138" s="4"/>
    </row>
    <row r="139" spans="2:9">
      <c r="B139" s="2"/>
      <c r="C139" s="3"/>
      <c r="D139" s="4"/>
      <c r="E139" s="4"/>
      <c r="F139" s="4"/>
      <c r="G139" s="4"/>
      <c r="H139" s="4"/>
      <c r="I139" s="4"/>
    </row>
    <row r="140" spans="2:9">
      <c r="B140" s="2"/>
      <c r="C140" s="3"/>
      <c r="D140" s="4"/>
      <c r="E140" s="4"/>
      <c r="F140" s="4"/>
      <c r="G140" s="4"/>
      <c r="H140" s="4"/>
      <c r="I140" s="4"/>
    </row>
    <row r="141" spans="2:9">
      <c r="B141" s="2"/>
      <c r="C141" s="3"/>
      <c r="D141" s="4"/>
      <c r="E141" s="4"/>
      <c r="F141" s="4"/>
      <c r="G141" s="4"/>
      <c r="H141" s="4"/>
      <c r="I141" s="4"/>
    </row>
    <row r="142" spans="2:9">
      <c r="B142" s="2"/>
      <c r="C142" s="3"/>
      <c r="D142" s="4"/>
      <c r="E142" s="4"/>
      <c r="F142" s="4"/>
      <c r="G142" s="4"/>
      <c r="H142" s="4"/>
      <c r="I142" s="4"/>
    </row>
    <row r="143" spans="2:9">
      <c r="B143" s="2"/>
      <c r="C143" s="3"/>
      <c r="D143" s="4"/>
      <c r="E143" s="4"/>
      <c r="F143" s="4"/>
      <c r="G143" s="4"/>
      <c r="H143" s="4"/>
      <c r="I143" s="4"/>
    </row>
    <row r="144" spans="2:9">
      <c r="B144" s="2"/>
      <c r="C144" s="3"/>
      <c r="D144" s="4"/>
      <c r="E144" s="4"/>
      <c r="F144" s="4"/>
      <c r="G144" s="4"/>
      <c r="H144" s="4"/>
      <c r="I144" s="4"/>
    </row>
    <row r="145" spans="2:9">
      <c r="B145" s="2"/>
      <c r="C145" s="3"/>
      <c r="D145" s="4"/>
      <c r="E145" s="4"/>
      <c r="F145" s="4"/>
      <c r="G145" s="4"/>
      <c r="H145" s="4"/>
      <c r="I145" s="4"/>
    </row>
    <row r="146" spans="2:9">
      <c r="B146" s="2"/>
      <c r="C146" s="3"/>
      <c r="D146" s="4"/>
      <c r="E146" s="4"/>
      <c r="F146" s="4"/>
      <c r="G146" s="4"/>
      <c r="H146" s="4"/>
      <c r="I146" s="4"/>
    </row>
    <row r="147" spans="2:9">
      <c r="B147" s="2"/>
      <c r="C147" s="3"/>
      <c r="D147" s="4"/>
      <c r="E147" s="4"/>
      <c r="F147" s="4"/>
      <c r="G147" s="4"/>
      <c r="H147" s="4"/>
      <c r="I147" s="4"/>
    </row>
    <row r="148" spans="2:9">
      <c r="B148" s="2"/>
      <c r="C148" s="3"/>
      <c r="D148" s="4"/>
      <c r="E148" s="4"/>
      <c r="F148" s="4"/>
      <c r="G148" s="4"/>
      <c r="H148" s="4"/>
      <c r="I148" s="4"/>
    </row>
    <row r="149" spans="2:9">
      <c r="B149" s="2"/>
      <c r="C149" s="3"/>
      <c r="D149" s="4"/>
      <c r="E149" s="4"/>
      <c r="F149" s="4"/>
      <c r="G149" s="4"/>
      <c r="H149" s="4"/>
      <c r="I149" s="4"/>
    </row>
    <row r="150" spans="2:9">
      <c r="B150" s="2"/>
      <c r="C150" s="3"/>
      <c r="D150" s="4"/>
      <c r="E150" s="4"/>
      <c r="F150" s="4"/>
      <c r="G150" s="4"/>
      <c r="H150" s="4"/>
      <c r="I150" s="4"/>
    </row>
    <row r="151" spans="2:9">
      <c r="B151" s="2"/>
      <c r="C151" s="3"/>
      <c r="D151" s="4"/>
      <c r="E151" s="4"/>
      <c r="F151" s="4"/>
      <c r="G151" s="4"/>
      <c r="H151" s="4"/>
      <c r="I151" s="4"/>
    </row>
    <row r="152" spans="2:9">
      <c r="B152" s="2"/>
      <c r="C152" s="3"/>
      <c r="D152" s="4"/>
      <c r="E152" s="4"/>
      <c r="F152" s="4"/>
      <c r="G152" s="4"/>
      <c r="H152" s="4"/>
      <c r="I152" s="4"/>
    </row>
    <row r="153" spans="2:9">
      <c r="B153" s="2"/>
      <c r="C153" s="3"/>
      <c r="D153" s="4"/>
      <c r="E153" s="4"/>
      <c r="F153" s="4"/>
      <c r="G153" s="4"/>
      <c r="H153" s="4"/>
      <c r="I153" s="4"/>
    </row>
    <row r="154" spans="2:9">
      <c r="B154" s="2"/>
      <c r="C154" s="3"/>
      <c r="D154" s="4"/>
      <c r="E154" s="4"/>
      <c r="F154" s="4"/>
      <c r="G154" s="4"/>
      <c r="H154" s="4"/>
      <c r="I154" s="4"/>
    </row>
    <row r="155" spans="2:9">
      <c r="B155" s="2"/>
      <c r="C155" s="3"/>
      <c r="D155" s="4"/>
      <c r="E155" s="4"/>
      <c r="F155" s="4"/>
      <c r="G155" s="4"/>
      <c r="H155" s="4"/>
      <c r="I155" s="4"/>
    </row>
    <row r="156" spans="2:9">
      <c r="B156" s="2"/>
      <c r="C156" s="3"/>
      <c r="D156" s="4"/>
      <c r="E156" s="4"/>
      <c r="F156" s="4"/>
      <c r="G156" s="4"/>
      <c r="H156" s="4"/>
      <c r="I156" s="4"/>
    </row>
    <row r="157" spans="2:9">
      <c r="B157" s="2"/>
      <c r="C157" s="3"/>
      <c r="D157" s="4"/>
      <c r="E157" s="4"/>
      <c r="F157" s="4"/>
      <c r="G157" s="4"/>
      <c r="H157" s="4"/>
      <c r="I157" s="4"/>
    </row>
    <row r="158" spans="2:9">
      <c r="B158" s="2"/>
      <c r="C158" s="3"/>
      <c r="D158" s="4"/>
      <c r="E158" s="4"/>
      <c r="F158" s="4"/>
      <c r="G158" s="4"/>
      <c r="H158" s="4"/>
      <c r="I158" s="4"/>
    </row>
    <row r="159" spans="2:9">
      <c r="B159" s="2"/>
      <c r="C159" s="3"/>
      <c r="D159" s="4"/>
      <c r="E159" s="4"/>
      <c r="F159" s="4"/>
      <c r="G159" s="4"/>
      <c r="H159" s="4"/>
      <c r="I159" s="4"/>
    </row>
    <row r="160" spans="2:9">
      <c r="B160" s="2"/>
      <c r="C160" s="3"/>
      <c r="D160" s="4"/>
      <c r="E160" s="4"/>
      <c r="F160" s="4"/>
      <c r="G160" s="4"/>
      <c r="H160" s="4"/>
      <c r="I160" s="4"/>
    </row>
    <row r="161" spans="2:9">
      <c r="B161" s="2"/>
      <c r="C161" s="3"/>
      <c r="D161" s="4"/>
      <c r="E161" s="4"/>
      <c r="F161" s="4"/>
      <c r="G161" s="4"/>
      <c r="H161" s="4"/>
      <c r="I161" s="4"/>
    </row>
    <row r="162" spans="2:9">
      <c r="B162" s="2"/>
      <c r="C162" s="3"/>
      <c r="D162" s="4"/>
      <c r="E162" s="4"/>
      <c r="F162" s="4"/>
      <c r="G162" s="4"/>
      <c r="H162" s="4"/>
      <c r="I162" s="4"/>
    </row>
    <row r="163" spans="2:9">
      <c r="B163" s="2"/>
      <c r="C163" s="3"/>
      <c r="D163" s="4"/>
      <c r="E163" s="4"/>
      <c r="F163" s="4"/>
      <c r="G163" s="4"/>
      <c r="H163" s="4"/>
      <c r="I163" s="4"/>
    </row>
    <row r="164" spans="2:9">
      <c r="B164" s="2"/>
      <c r="C164" s="3"/>
      <c r="D164" s="4"/>
      <c r="E164" s="4"/>
      <c r="F164" s="4"/>
      <c r="G164" s="4"/>
      <c r="H164" s="4"/>
      <c r="I164" s="4"/>
    </row>
    <row r="165" spans="2:9">
      <c r="B165" s="2"/>
      <c r="C165" s="3"/>
      <c r="D165" s="4"/>
      <c r="E165" s="4"/>
      <c r="F165" s="4"/>
      <c r="G165" s="4"/>
      <c r="H165" s="4"/>
      <c r="I165" s="4"/>
    </row>
    <row r="166" spans="2:9">
      <c r="B166" s="2"/>
      <c r="C166" s="3"/>
      <c r="D166" s="4"/>
      <c r="E166" s="4"/>
      <c r="F166" s="4"/>
      <c r="G166" s="4"/>
      <c r="H166" s="4"/>
      <c r="I166" s="4"/>
    </row>
    <row r="167" spans="2:9">
      <c r="B167" s="2"/>
      <c r="C167" s="3"/>
      <c r="D167" s="4"/>
      <c r="E167" s="4"/>
      <c r="F167" s="4"/>
      <c r="G167" s="4"/>
      <c r="H167" s="4"/>
      <c r="I167" s="4"/>
    </row>
    <row r="168" spans="2:9">
      <c r="B168" s="2"/>
      <c r="C168" s="3"/>
      <c r="D168" s="4"/>
      <c r="E168" s="4"/>
      <c r="F168" s="4"/>
      <c r="G168" s="4"/>
      <c r="H168" s="4"/>
      <c r="I168" s="4"/>
    </row>
    <row r="169" spans="2:9">
      <c r="B169" s="2"/>
      <c r="C169" s="3"/>
      <c r="D169" s="4"/>
      <c r="E169" s="4"/>
      <c r="F169" s="4"/>
      <c r="G169" s="4"/>
      <c r="H169" s="4"/>
      <c r="I169" s="4"/>
    </row>
    <row r="170" spans="2:9">
      <c r="B170" s="2"/>
      <c r="C170" s="3"/>
      <c r="D170" s="4"/>
      <c r="E170" s="4"/>
      <c r="F170" s="4"/>
      <c r="G170" s="4"/>
      <c r="H170" s="4"/>
      <c r="I170" s="4"/>
    </row>
    <row r="171" spans="2:9">
      <c r="B171" s="2"/>
      <c r="C171" s="3"/>
      <c r="D171" s="4"/>
      <c r="E171" s="4"/>
      <c r="F171" s="4"/>
      <c r="G171" s="4"/>
      <c r="H171" s="4"/>
      <c r="I171" s="4"/>
    </row>
    <row r="172" spans="2:9">
      <c r="B172" s="2"/>
      <c r="C172" s="3"/>
      <c r="D172" s="4"/>
      <c r="E172" s="4"/>
      <c r="F172" s="4"/>
      <c r="G172" s="4"/>
      <c r="H172" s="4"/>
      <c r="I172" s="4"/>
    </row>
    <row r="173" spans="2:9">
      <c r="B173" s="2"/>
      <c r="C173" s="3"/>
      <c r="D173" s="4"/>
      <c r="E173" s="4"/>
      <c r="F173" s="4"/>
      <c r="G173" s="4"/>
      <c r="H173" s="4"/>
      <c r="I173" s="4"/>
    </row>
    <row r="174" spans="2:9">
      <c r="B174" s="2"/>
      <c r="C174" s="3"/>
      <c r="D174" s="4"/>
      <c r="E174" s="4"/>
      <c r="F174" s="4"/>
      <c r="G174" s="4"/>
      <c r="H174" s="4"/>
      <c r="I174" s="4"/>
    </row>
    <row r="175" spans="2:9">
      <c r="B175" s="2"/>
      <c r="C175" s="3"/>
      <c r="D175" s="4"/>
      <c r="E175" s="4"/>
      <c r="F175" s="4"/>
      <c r="G175" s="4"/>
      <c r="H175" s="4"/>
      <c r="I175" s="4"/>
    </row>
    <row r="176" spans="2:9">
      <c r="B176" s="2"/>
      <c r="C176" s="3"/>
      <c r="D176" s="4"/>
      <c r="E176" s="4"/>
      <c r="F176" s="4"/>
      <c r="G176" s="4"/>
      <c r="H176" s="4"/>
      <c r="I176" s="4"/>
    </row>
    <row r="177" spans="2:9">
      <c r="B177" s="2"/>
      <c r="C177" s="3"/>
      <c r="D177" s="4"/>
      <c r="E177" s="4"/>
      <c r="F177" s="4"/>
      <c r="G177" s="4"/>
      <c r="H177" s="4"/>
      <c r="I177" s="4"/>
    </row>
    <row r="178" spans="2:9">
      <c r="D178" s="4"/>
      <c r="E178" s="4"/>
      <c r="F178" s="4"/>
      <c r="G178" s="4"/>
      <c r="H178" s="4"/>
      <c r="I178" s="4"/>
    </row>
  </sheetData>
  <dataValidations count="12">
    <dataValidation type="list" allowBlank="1" showInputMessage="1" showErrorMessage="1" sqref="C18:C25 C27:C30" xr:uid="{00000000-0002-0000-0300-000000000000}">
      <formula1>RatingScaleList</formula1>
    </dataValidation>
    <dataValidation type="list" allowBlank="1" showInputMessage="1" showErrorMessage="1" sqref="C14" xr:uid="{00000000-0002-0000-0300-000001000000}">
      <formula1>AccountingPrinciplesList</formula1>
    </dataValidation>
    <dataValidation type="list" allowBlank="1" showInputMessage="1" showErrorMessage="1" sqref="C13" xr:uid="{00000000-0002-0000-0300-000002000000}">
      <formula1>CountryList</formula1>
    </dataValidation>
    <dataValidation type="list" allowBlank="1" showInputMessage="1" showErrorMessage="1" sqref="C12" xr:uid="{00000000-0002-0000-0300-000003000000}">
      <formula1>CurrencyList</formula1>
    </dataValidation>
    <dataValidation type="list" allowBlank="1" showInputMessage="1" showErrorMessage="1" sqref="C15" xr:uid="{00000000-0002-0000-0300-000004000000}">
      <formula1>MonthList</formula1>
    </dataValidation>
    <dataValidation type="list" allowBlank="1" showInputMessage="1" showErrorMessage="1" sqref="C31" xr:uid="{00000000-0002-0000-0300-000005000000}">
      <formula1>NotchingList</formula1>
    </dataValidation>
    <dataValidation type="list" allowBlank="1" showInputMessage="1" showErrorMessage="1" sqref="C7:I7" xr:uid="{00000000-0002-0000-0300-000006000000}">
      <formula1>SectorList</formula1>
    </dataValidation>
    <dataValidation type="list" allowBlank="1" showInputMessage="1" showErrorMessage="1" sqref="C5:I5" xr:uid="{00000000-0002-0000-0300-000007000000}">
      <formula1>MethodologyList</formula1>
    </dataValidation>
    <dataValidation type="list" allowBlank="1" showInputMessage="1" showErrorMessage="1" sqref="C3" xr:uid="{00000000-0002-0000-0300-000008000000}">
      <formula1>CorporateSectorList</formula1>
    </dataValidation>
    <dataValidation type="list" allowBlank="1" showInputMessage="1" showErrorMessage="1" sqref="C10" xr:uid="{00000000-0002-0000-0300-000009000000}">
      <formula1>SegmentationCriteriaList</formula1>
    </dataValidation>
    <dataValidation type="list" allowBlank="1" showInputMessage="1" showErrorMessage="1" sqref="C9:I9" xr:uid="{00000000-0002-0000-0300-00000A000000}">
      <formula1>IndustryWeightList</formula1>
    </dataValidation>
    <dataValidation type="list" allowBlank="1" showInputMessage="1" showErrorMessage="1" sqref="C8:I8" xr:uid="{00000000-0002-0000-0300-00000B000000}">
      <formula1>SectorRiskScoreList</formula1>
    </dataValidation>
  </dataValidations>
  <pageMargins left="0.7" right="0.7" top="0.75" bottom="0.75" header="0.3" footer="0.3"/>
  <pageSetup paperSize="9" orientation="portrait"/>
  <headerFooter>
    <oddHeader>&amp;R&amp;"Calibri"&amp;1 &amp;K0000FF Internal Document#_x000D_</oddHead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4</vt:i4>
      </vt:variant>
      <vt:variant>
        <vt:lpstr>Benannte Bereiche</vt:lpstr>
      </vt:variant>
      <vt:variant>
        <vt:i4>90</vt:i4>
      </vt:variant>
    </vt:vector>
  </HeadingPairs>
  <TitlesOfParts>
    <vt:vector size="94" baseType="lpstr">
      <vt:lpstr>BusinessRiskProfiles</vt:lpstr>
      <vt:lpstr>ListData</vt:lpstr>
      <vt:lpstr>Settings</vt:lpstr>
      <vt:lpstr>MASTER</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Romeo</dc:creator>
  <cp:lastModifiedBy>Richard Ewelle</cp:lastModifiedBy>
  <dcterms:created xsi:type="dcterms:W3CDTF">2015-06-05T18:19:34Z</dcterms:created>
  <dcterms:modified xsi:type="dcterms:W3CDTF">2026-02-25T23:32:01Z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