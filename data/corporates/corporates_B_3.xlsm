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mc:AlternateContent xmlns:mc="http://schemas.openxmlformats.org/markup-compatibility/2006">
    <mc:Choice Requires="x15">
      <x15ac:absPath xmlns:x15ac="http://schemas.microsoft.com/office/spreadsheetml/2010/11/ac" url="/Users/rewelle/aduku/repos/scope-qam/data/corporates/"/>
    </mc:Choice>
  </mc:AlternateContent>
  <xr:revisionPtr revIDLastSave="0" documentId="13_ncr:1_{773ED256-BBD0-4148-A452-61374F003654}" xr6:coauthVersionLast="47" xr6:coauthVersionMax="47" xr10:uidLastSave="{00000000-0000-0000-0000-000000000000}"/>
  <bookViews>
    <workbookView xWindow="0" yWindow="500" windowWidth="60160" windowHeight="33340" activeTab="3" xr2:uid="{00000000-000D-0000-FFFF-FFFF00000000}"/>
  </bookViews>
  <sheets>
    <sheet name="BusinessRiskProfiles" sheetId="1" state="hidden" r:id="rId1"/>
    <sheet name="ListData" sheetId="2" state="hidden" r:id="rId2"/>
    <sheet name="Settings" sheetId="3" state="hidden" r:id="rId3"/>
    <sheet name="MASTER" sheetId="4" r:id="rId4"/>
  </sheets>
  <definedNames>
    <definedName name="_xleta.MAX" hidden="1" xlm="1">#NAME?</definedName>
    <definedName name="AccountingPrinciples" localSheetId="3">MASTER!$C$14</definedName>
    <definedName name="AccountingPrinciplesList">ListData!$K$2:$K$4</definedName>
    <definedName name="AddFactors" localSheetId="3">MASTER!$C$25</definedName>
    <definedName name="BankingRelationshipsAndStandingInTheCapitalMarkets" localSheetId="3">MASTER!#REF!</definedName>
    <definedName name="BRP" localSheetId="3">MASTER!$C$18</definedName>
    <definedName name="CashflowGeneration" localSheetId="3">MASTER!$C$30</definedName>
    <definedName name="CompetitivePositioning" localSheetId="3">MASTER!$C$20</definedName>
    <definedName name="CorporateSector" localSheetId="3">MASTER!$C$3</definedName>
    <definedName name="CorporateSectorList">ListData!$AP$2:$AP$18</definedName>
    <definedName name="Country" localSheetId="3">MASTER!$C$13</definedName>
    <definedName name="CountryList">ListData!$N$2:$N$40</definedName>
    <definedName name="Currency" localSheetId="3">MASTER!$C$12</definedName>
    <definedName name="CurrencyList">ListData!$O$2:$O$30</definedName>
    <definedName name="DayList">ListData!$M$2:$M$33</definedName>
    <definedName name="DebtProtection" localSheetId="3">MASTER!$C$29</definedName>
    <definedName name="DiscretionaryCashFlowList">ListData!$AA$2:$AA$4</definedName>
    <definedName name="Diversification" localSheetId="3">MASTER!$C$22</definedName>
    <definedName name="EndofBusinessYearDay" localSheetId="3">MASTER!$D$15</definedName>
    <definedName name="EndofBusinessYearMonth" localSheetId="3">MASTER!$C$15</definedName>
    <definedName name="ExpectedRecoverySDR" localSheetId="3">MASTER!#REF!</definedName>
    <definedName name="ExpectedRecoverySHDR" localSheetId="3">MASTER!#REF!</definedName>
    <definedName name="ExpectedRecoverySSDR" localSheetId="3">MASTER!#REF!</definedName>
    <definedName name="ExpectedRecoverySUDR" localSheetId="3">MASTER!#REF!</definedName>
    <definedName name="FinancialPolicy" localSheetId="3">MASTER!#REF!</definedName>
    <definedName name="FreeoperatingcashflowList">ListData!$W$2:$W$7</definedName>
    <definedName name="FrequencyList">ListData!$R$2:$R$10</definedName>
    <definedName name="FRP" localSheetId="3">MASTER!$C$27</definedName>
    <definedName name="Governance" localSheetId="3">MASTER!#REF!</definedName>
    <definedName name="HeadingsList">ListData!$AE$2:$AE$10</definedName>
    <definedName name="IndustryRisk1" localSheetId="3">MASTER!$C$7</definedName>
    <definedName name="IndustryRisk2" localSheetId="3">MASTER!$D$7</definedName>
    <definedName name="IndustryRisk3" localSheetId="3">MASTER!$E$7</definedName>
    <definedName name="IndustryRisk4" localSheetId="3">MASTER!$F$7</definedName>
    <definedName name="IndustryRisk5" localSheetId="3">MASTER!$G$7</definedName>
    <definedName name="IndustryRisk6" localSheetId="3">MASTER!$H$7</definedName>
    <definedName name="IndustryRisk7" localSheetId="3">MASTER!$I$7</definedName>
    <definedName name="IndustryRiskScore1" localSheetId="3">MASTER!$C$8</definedName>
    <definedName name="IndustryRiskScore2" localSheetId="3">MASTER!$D$8</definedName>
    <definedName name="IndustryRiskScore3" localSheetId="3">MASTER!$E$8</definedName>
    <definedName name="IndustryRiskScore4" localSheetId="3">MASTER!$F$8</definedName>
    <definedName name="IndustryRiskScore5" localSheetId="3">MASTER!$G$8</definedName>
    <definedName name="IndustryRiskScore6" localSheetId="3">MASTER!$H$8</definedName>
    <definedName name="IndustryRiskScore7" localSheetId="3">MASTER!$I$8</definedName>
    <definedName name="IndustryWeight1" localSheetId="3">MASTER!$C$9</definedName>
    <definedName name="IndustryWeight2" localSheetId="3">MASTER!$D$9</definedName>
    <definedName name="IndustryWeight3" localSheetId="3">MASTER!$E$9</definedName>
    <definedName name="IndustryWeight4" localSheetId="3">MASTER!$F$9</definedName>
    <definedName name="IndustryWeight5" localSheetId="3">MASTER!$G$9</definedName>
    <definedName name="IndustryWeight6" localSheetId="3">MASTER!$H$9</definedName>
    <definedName name="IndustryWeight7" localSheetId="3">MASTER!$I$9</definedName>
    <definedName name="IndustryWeightList">ListData!$AT$2:$AT$22</definedName>
    <definedName name="InternallyAndExternallyProvidedLiquidityCover" localSheetId="3">MASTER!#REF!</definedName>
    <definedName name="InternallyProvidedLiquidityCover" localSheetId="3">MASTER!#REF!</definedName>
    <definedName name="IRfinal" localSheetId="3">MASTER!#REF!</definedName>
    <definedName name="IRP" localSheetId="3">MASTER!$C$19</definedName>
    <definedName name="IRSA" localSheetId="3">MASTER!#REF!</definedName>
    <definedName name="IssuerIdList">ListData!$AO$2:$AO$681</definedName>
    <definedName name="IssuerOutlookfinal" localSheetId="3">MASTER!#REF!</definedName>
    <definedName name="Leverage" localSheetId="3">MASTER!$C$28</definedName>
    <definedName name="LiquidityList">ListData!$Z$2:$Z$9</definedName>
    <definedName name="LiquidityScore" localSheetId="3">MASTER!$C$31</definedName>
    <definedName name="LTVList">ListData!$AB$2:$AB$6</definedName>
    <definedName name="MarketPosition" localSheetId="3">MASTER!$C$21</definedName>
    <definedName name="MASTERAddressList">ListData!$AH$2:$AH$128</definedName>
    <definedName name="MASTERFirstColumnAddressList">ListData!$AM$2:$AM$73</definedName>
    <definedName name="MASTERFirstColumnNameList">ListData!$AL$2:$AL$73</definedName>
    <definedName name="MASTERHeaderList">ListData!$AK$2:$AK$128</definedName>
    <definedName name="MASTERRangeNameList">ListData!$AI$2:$AI$128</definedName>
    <definedName name="MASTERValidationList">ListData!$AJ$2:$AJ$128</definedName>
    <definedName name="Methodology1" localSheetId="3">MASTER!$C$5</definedName>
    <definedName name="Methodology2" localSheetId="3">MASTER!$D$5</definedName>
    <definedName name="Methodology3" localSheetId="3">MASTER!$E$5</definedName>
    <definedName name="Methodology4" localSheetId="3">MASTER!$F$5</definedName>
    <definedName name="Methodology5" localSheetId="3">MASTER!$G$5</definedName>
    <definedName name="Methodology6" localSheetId="3">MASTER!$H$5</definedName>
    <definedName name="Methodology7" localSheetId="3">MASTER!$I$5</definedName>
    <definedName name="MethodologyList">ListData!$A$2:$A$17</definedName>
    <definedName name="MonthList">ListData!$L$2:$L$13</definedName>
    <definedName name="NegativeRatingChangeDriver" localSheetId="3">MASTER!#REF!</definedName>
    <definedName name="NotchingList">ListData!$D$2:$D$10</definedName>
    <definedName name="OutlookList">ListData!$G$2:$G$7</definedName>
    <definedName name="ParentSupport" localSheetId="3">MASTER!#REF!</definedName>
    <definedName name="PeerContext" localSheetId="3">MASTER!#REF!</definedName>
    <definedName name="PositiveRatingChangeDriver" localSheetId="3">MASTER!#REF!</definedName>
    <definedName name="Profitability" localSheetId="3">MASTER!$C$23</definedName>
    <definedName name="RatedEntity" localSheetId="3">MASTER!$C$2</definedName>
    <definedName name="RatedEntityList">ListData!$AN$2:$AN$681</definedName>
    <definedName name="RatingScaleList">ListData!$E$2:$E$22</definedName>
    <definedName name="RecoveryExpectationsList">ListData!$J$2:$J$7</definedName>
    <definedName name="ReportingUnitList">ListData!$P$2:$P$4</definedName>
    <definedName name="ScopeadjusteddebtList">ListData!$X$2:$X$9</definedName>
    <definedName name="ScopeadjustedEBITDAList">ListData!$U$2:$U$6</definedName>
    <definedName name="ScopeadjustedFFOList">ListData!$V$2:$V$8</definedName>
    <definedName name="ScopeadjustedinterestsList">ListData!$Y$2:$Y$8</definedName>
    <definedName name="ScopeMetricsList">ListData!$T$2:$T$7</definedName>
    <definedName name="SectorList">ListData!$B$2:$B$49</definedName>
    <definedName name="SectorRiskScoreList">ListData!$C$2:$C$49</definedName>
    <definedName name="SegmentationCriteria" localSheetId="3">MASTER!$C$10</definedName>
    <definedName name="SegmentationCriteriaList">ListData!$AU$2:$AU$4</definedName>
    <definedName name="SeniorSecuredDebt" localSheetId="3">MASTER!#REF!</definedName>
    <definedName name="SeniorUnsecuredDebt" localSheetId="3">MASTER!#REF!</definedName>
    <definedName name="ShorttermDebt" localSheetId="3">MASTER!#REF!</definedName>
    <definedName name="ShortTermDebtRatingCriteriaList">ListData!$I$2:$I$4</definedName>
    <definedName name="ShortTermRatingsList">ListData!$H$2:$H$6</definedName>
    <definedName name="StatusList">ListData!$S$2:$S$3</definedName>
    <definedName name="Subfactor1_1" localSheetId="3">MASTER!#REF!</definedName>
    <definedName name="Subfactor1_2" localSheetId="3">MASTER!#REF!</definedName>
    <definedName name="Subfactor1_3" localSheetId="3">MASTER!#REF!</definedName>
    <definedName name="Subfactor1_4" localSheetId="3">MASTER!#REF!</definedName>
    <definedName name="Subfactor1_5" localSheetId="3">MASTER!#REF!</definedName>
    <definedName name="Subfactor1_6" localSheetId="3">MASTER!#REF!</definedName>
    <definedName name="Subfactor2_1" localSheetId="3">MASTER!#REF!</definedName>
    <definedName name="Subfactor2_2" localSheetId="3">MASTER!#REF!</definedName>
    <definedName name="Subfactor2_3" localSheetId="3">MASTER!#REF!</definedName>
    <definedName name="Subfactor2_4" localSheetId="3">MASTER!#REF!</definedName>
    <definedName name="Subfactor2_5" localSheetId="3">MASTER!#REF!</definedName>
    <definedName name="Subfactor2_6" localSheetId="3">MASTER!#REF!</definedName>
    <definedName name="Subfactor3_1" localSheetId="3">MASTER!#REF!</definedName>
    <definedName name="Subfactor3_2" localSheetId="3">MASTER!#REF!</definedName>
    <definedName name="Subfactor3_3" localSheetId="3">MASTER!#REF!</definedName>
    <definedName name="Subfactor3_4" localSheetId="3">MASTER!#REF!</definedName>
    <definedName name="Subfactor3_5" localSheetId="3">MASTER!#REF!</definedName>
    <definedName name="Subfactor3_6" localSheetId="3">MASTER!#REF!</definedName>
    <definedName name="Subfactor4_1" localSheetId="3">MASTER!#REF!</definedName>
    <definedName name="Subfactor4_2" localSheetId="3">MASTER!#REF!</definedName>
    <definedName name="Subfactor4_3" localSheetId="3">MASTER!#REF!</definedName>
    <definedName name="Subfactor4_4" localSheetId="3">MASTER!#REF!</definedName>
    <definedName name="Subfactor4_5" localSheetId="3">MASTER!#REF!</definedName>
    <definedName name="Subfactor4_6" localSheetId="3">MASTER!#REF!</definedName>
    <definedName name="Subfactor5_1" localSheetId="3">MASTER!#REF!</definedName>
    <definedName name="Subfactor5_2" localSheetId="3">MASTER!#REF!</definedName>
    <definedName name="Subfactor5_3" localSheetId="3">MASTER!#REF!</definedName>
    <definedName name="Subfactor5_4" localSheetId="3">MASTER!#REF!</definedName>
    <definedName name="Subfactor5_5" localSheetId="3">MASTER!#REF!</definedName>
    <definedName name="Subfactor5_6" localSheetId="3">MASTER!#REF!</definedName>
    <definedName name="SubordinatedDebt" localSheetId="3">MASTER!#REF!</definedName>
    <definedName name="SubordinatedHybridDebt" localSheetId="3">MASTER!#REF!</definedName>
    <definedName name="SubSubfactor_1" localSheetId="3">MASTER!#REF!</definedName>
    <definedName name="SubSubfactor_10" localSheetId="3">MASTER!#REF!</definedName>
    <definedName name="SubSubfactor_11" localSheetId="3">MASTER!#REF!</definedName>
    <definedName name="SubSubfactor_12" localSheetId="3">MASTER!#REF!</definedName>
    <definedName name="SubSubfactor_13" localSheetId="3">MASTER!#REF!</definedName>
    <definedName name="SubSubfactor_14" localSheetId="3">MASTER!#REF!</definedName>
    <definedName name="SubSubfactor_15" localSheetId="3">MASTER!#REF!</definedName>
    <definedName name="SubSubfactor_16" localSheetId="3">MASTER!#REF!</definedName>
    <definedName name="SubSubfactor_17" localSheetId="3">MASTER!#REF!</definedName>
    <definedName name="SubSubfactor_18" localSheetId="3">MASTER!#REF!</definedName>
    <definedName name="SubSubfactor_19" localSheetId="3">MASTER!#REF!</definedName>
    <definedName name="SubSubfactor_2" localSheetId="3">MASTER!#REF!</definedName>
    <definedName name="SubSubfactor_20" localSheetId="3">MASTER!#REF!</definedName>
    <definedName name="SubSubfactor_21" localSheetId="3">MASTER!#REF!</definedName>
    <definedName name="SubSubfactor_22" localSheetId="3">MASTER!#REF!</definedName>
    <definedName name="SubSubfactor_23" localSheetId="3">MASTER!#REF!</definedName>
    <definedName name="SubSubfactor_24" localSheetId="3">MASTER!#REF!</definedName>
    <definedName name="SubSubfactor_25" localSheetId="3">MASTER!#REF!</definedName>
    <definedName name="SubSubfactor_3" localSheetId="3">MASTER!#REF!</definedName>
    <definedName name="SubSubfactor_4" localSheetId="3">MASTER!#REF!</definedName>
    <definedName name="SubSubfactor_5" localSheetId="3">MASTER!#REF!</definedName>
    <definedName name="SubSubfactor_6" localSheetId="3">MASTER!#REF!</definedName>
    <definedName name="SubSubfactor_7" localSheetId="3">MASTER!#REF!</definedName>
    <definedName name="SubSubfactor_8" localSheetId="3">MASTER!#REF!</definedName>
    <definedName name="SubSubfactor_9" localSheetId="3">MASTER!#REF!</definedName>
    <definedName name="SUPPRD" localSheetId="3">MASTER!#REF!</definedName>
    <definedName name="TotalArray2List">ListData!$AG$2:$AG$63</definedName>
    <definedName name="TotalArrayList">ListData!$AF$2:$AF$63</definedName>
    <definedName name="Unit" localSheetId="3">MASTER!$D$12</definedName>
    <definedName name="YearList">ListData!$Q$2:$Q$35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4" i="1" l="1"/>
  <c r="A177" i="1" s="1"/>
  <c r="A215" i="1" s="1"/>
  <c r="A253" i="1" s="1"/>
  <c r="A291" i="1" s="1"/>
  <c r="A133" i="1"/>
  <c r="A176" i="1" s="1"/>
  <c r="A214" i="1" s="1"/>
  <c r="A252" i="1" s="1"/>
  <c r="A290" i="1" s="1"/>
  <c r="A132" i="1"/>
  <c r="A175" i="1" s="1"/>
  <c r="A213" i="1" s="1"/>
  <c r="A251" i="1" s="1"/>
  <c r="A289" i="1" s="1"/>
  <c r="A131" i="1"/>
  <c r="A174" i="1" s="1"/>
  <c r="A212" i="1" s="1"/>
  <c r="A250" i="1" s="1"/>
  <c r="A288" i="1" s="1"/>
  <c r="A130" i="1"/>
  <c r="A173" i="1" s="1"/>
  <c r="A211" i="1" s="1"/>
  <c r="A249" i="1" s="1"/>
  <c r="A287" i="1" s="1"/>
  <c r="A129" i="1"/>
  <c r="A172" i="1" s="1"/>
  <c r="A210" i="1" s="1"/>
  <c r="A248" i="1" s="1"/>
  <c r="A286" i="1" s="1"/>
  <c r="A128" i="1"/>
  <c r="A171" i="1" s="1"/>
  <c r="A209" i="1" s="1"/>
  <c r="A247" i="1" s="1"/>
  <c r="A285" i="1" s="1"/>
  <c r="A127" i="1"/>
  <c r="A170" i="1" s="1"/>
  <c r="A208" i="1" s="1"/>
  <c r="A246" i="1" s="1"/>
  <c r="A284" i="1" s="1"/>
  <c r="A126" i="1"/>
  <c r="A169" i="1" s="1"/>
  <c r="A207" i="1" s="1"/>
  <c r="A245" i="1" s="1"/>
  <c r="A283" i="1" s="1"/>
  <c r="A125" i="1"/>
  <c r="A168" i="1" s="1"/>
  <c r="A206" i="1" s="1"/>
  <c r="A244" i="1" s="1"/>
  <c r="A282" i="1" s="1"/>
  <c r="A124" i="1"/>
  <c r="A167" i="1" s="1"/>
  <c r="A205" i="1" s="1"/>
  <c r="A243" i="1" s="1"/>
  <c r="A281" i="1" s="1"/>
  <c r="A123" i="1"/>
  <c r="A166" i="1" s="1"/>
  <c r="A204" i="1" s="1"/>
  <c r="A242" i="1" s="1"/>
  <c r="A280" i="1" s="1"/>
  <c r="A122" i="1"/>
  <c r="A165" i="1" s="1"/>
  <c r="A203" i="1" s="1"/>
  <c r="A241" i="1" s="1"/>
  <c r="A279" i="1" s="1"/>
  <c r="A121" i="1"/>
  <c r="A164" i="1" s="1"/>
  <c r="A202" i="1" s="1"/>
  <c r="A240" i="1" s="1"/>
  <c r="A278" i="1" s="1"/>
  <c r="A120" i="1"/>
  <c r="A163" i="1" s="1"/>
  <c r="A201" i="1" s="1"/>
  <c r="A239" i="1" s="1"/>
  <c r="A277" i="1" s="1"/>
  <c r="A119" i="1"/>
  <c r="A162" i="1" s="1"/>
  <c r="A200" i="1" s="1"/>
  <c r="A238" i="1" s="1"/>
  <c r="A276" i="1" s="1"/>
  <c r="C118" i="1"/>
  <c r="A118" i="1"/>
  <c r="A161" i="1" s="1"/>
  <c r="A199" i="1" s="1"/>
  <c r="A237" i="1" s="1"/>
  <c r="A275" i="1" s="1"/>
  <c r="A117" i="1"/>
  <c r="A160" i="1" s="1"/>
  <c r="A198" i="1" s="1"/>
  <c r="A236" i="1" s="1"/>
  <c r="A274" i="1" s="1"/>
  <c r="A116" i="1"/>
  <c r="A159" i="1" s="1"/>
  <c r="A197" i="1" s="1"/>
  <c r="A235" i="1" s="1"/>
  <c r="A273" i="1" s="1"/>
  <c r="A115" i="1"/>
  <c r="A158" i="1" s="1"/>
  <c r="A196" i="1" s="1"/>
  <c r="A234" i="1" s="1"/>
  <c r="A272" i="1" s="1"/>
  <c r="A114" i="1"/>
  <c r="A157" i="1" s="1"/>
  <c r="A195" i="1" s="1"/>
  <c r="A233" i="1" s="1"/>
  <c r="A271" i="1" s="1"/>
  <c r="A113" i="1"/>
  <c r="A156" i="1" s="1"/>
  <c r="A194" i="1" s="1"/>
  <c r="A232" i="1" s="1"/>
  <c r="A270" i="1" s="1"/>
  <c r="A112" i="1"/>
  <c r="A155" i="1" s="1"/>
  <c r="A193" i="1" s="1"/>
  <c r="A231" i="1" s="1"/>
  <c r="A269" i="1" s="1"/>
  <c r="A111" i="1"/>
  <c r="A154" i="1" s="1"/>
  <c r="A192" i="1" s="1"/>
  <c r="A230" i="1" s="1"/>
  <c r="A268" i="1" s="1"/>
  <c r="A110" i="1"/>
  <c r="A153" i="1" s="1"/>
  <c r="A191" i="1" s="1"/>
  <c r="A229" i="1" s="1"/>
  <c r="A267" i="1" s="1"/>
  <c r="A109" i="1"/>
  <c r="A152" i="1" s="1"/>
  <c r="A190" i="1" s="1"/>
  <c r="A228" i="1" s="1"/>
  <c r="A266" i="1" s="1"/>
  <c r="C108" i="1"/>
  <c r="A108" i="1"/>
  <c r="A151" i="1" s="1"/>
  <c r="A189" i="1" s="1"/>
  <c r="A227" i="1" s="1"/>
  <c r="A265" i="1" s="1"/>
  <c r="A107" i="1"/>
  <c r="A150" i="1" s="1"/>
  <c r="A188" i="1" s="1"/>
  <c r="A226" i="1" s="1"/>
  <c r="A264" i="1" s="1"/>
  <c r="A106" i="1"/>
  <c r="A149" i="1" s="1"/>
  <c r="A187" i="1" s="1"/>
  <c r="A225" i="1" s="1"/>
  <c r="A263" i="1" s="1"/>
  <c r="A105" i="1"/>
  <c r="A148" i="1" s="1"/>
  <c r="A186" i="1" s="1"/>
  <c r="A224" i="1" s="1"/>
  <c r="A262" i="1" s="1"/>
  <c r="C104" i="1"/>
  <c r="A104" i="1"/>
  <c r="A147" i="1" s="1"/>
  <c r="A185" i="1" s="1"/>
  <c r="A223" i="1" s="1"/>
  <c r="A261" i="1" s="1"/>
  <c r="A103" i="1"/>
  <c r="A146" i="1" s="1"/>
  <c r="A184" i="1" s="1"/>
  <c r="A222" i="1" s="1"/>
  <c r="A260" i="1" s="1"/>
  <c r="A102" i="1"/>
  <c r="A145" i="1" s="1"/>
  <c r="A183" i="1" s="1"/>
  <c r="A221" i="1" s="1"/>
  <c r="A259" i="1" s="1"/>
  <c r="C101" i="1"/>
  <c r="A101" i="1"/>
  <c r="A144" i="1" s="1"/>
  <c r="A182" i="1" s="1"/>
  <c r="A220" i="1" s="1"/>
  <c r="A258" i="1" s="1"/>
  <c r="A100" i="1"/>
  <c r="A143" i="1" s="1"/>
  <c r="A181" i="1" s="1"/>
  <c r="A219" i="1" s="1"/>
  <c r="A257" i="1" s="1"/>
  <c r="K99" i="1"/>
  <c r="A90" i="1"/>
  <c r="A89" i="1"/>
  <c r="C88" i="1"/>
  <c r="A88" i="1"/>
  <c r="A87" i="1"/>
  <c r="A86" i="1"/>
  <c r="C85" i="1"/>
  <c r="A85" i="1"/>
  <c r="A84" i="1"/>
  <c r="A83" i="1"/>
  <c r="A82" i="1"/>
  <c r="E81" i="1"/>
  <c r="D81" i="1"/>
  <c r="C81" i="1"/>
  <c r="A81" i="1"/>
  <c r="A80" i="1"/>
  <c r="A79" i="1"/>
  <c r="E78" i="1"/>
  <c r="A78" i="1"/>
  <c r="C77" i="1"/>
  <c r="A77" i="1"/>
  <c r="A76" i="1"/>
  <c r="A75" i="1"/>
  <c r="C74" i="1"/>
  <c r="A74" i="1"/>
  <c r="C73" i="1"/>
  <c r="A73" i="1"/>
  <c r="A72" i="1"/>
  <c r="A71" i="1"/>
  <c r="A70" i="1"/>
  <c r="A69" i="1"/>
  <c r="A68" i="1"/>
  <c r="E67" i="1"/>
  <c r="A67" i="1"/>
  <c r="C66" i="1"/>
  <c r="B66" i="1"/>
  <c r="A66" i="1"/>
  <c r="A65" i="1"/>
  <c r="A64" i="1"/>
  <c r="C63" i="1"/>
  <c r="A63" i="1"/>
  <c r="C62" i="1"/>
  <c r="A62" i="1"/>
  <c r="A61" i="1"/>
  <c r="A60" i="1"/>
  <c r="E59" i="1"/>
  <c r="C59" i="1"/>
  <c r="A59" i="1"/>
  <c r="A58" i="1"/>
  <c r="A57" i="1"/>
  <c r="G56" i="1"/>
  <c r="A56" i="1"/>
  <c r="A46" i="1"/>
  <c r="G45" i="1"/>
  <c r="A45" i="1"/>
  <c r="A44" i="1"/>
  <c r="C43" i="1"/>
  <c r="A43" i="1"/>
  <c r="B42" i="1"/>
  <c r="A42" i="1"/>
  <c r="A41" i="1"/>
  <c r="G40" i="1"/>
  <c r="C40" i="1"/>
  <c r="A40" i="1"/>
  <c r="C39" i="1"/>
  <c r="A39" i="1"/>
  <c r="A38" i="1"/>
  <c r="E37" i="1"/>
  <c r="A37" i="1"/>
  <c r="C36" i="1"/>
  <c r="A36" i="1"/>
  <c r="A35" i="1"/>
  <c r="G34" i="1"/>
  <c r="A34" i="1"/>
  <c r="A33" i="1"/>
  <c r="C32" i="1"/>
  <c r="B32" i="1"/>
  <c r="A32" i="1"/>
  <c r="A31" i="1"/>
  <c r="A30" i="1"/>
  <c r="E29" i="1"/>
  <c r="D29" i="1"/>
  <c r="C29" i="1"/>
  <c r="A29" i="1"/>
  <c r="C28" i="1"/>
  <c r="A28" i="1"/>
  <c r="A27" i="1"/>
  <c r="G26" i="1"/>
  <c r="A26" i="1"/>
  <c r="E25" i="1"/>
  <c r="C25" i="1"/>
  <c r="A25" i="1"/>
  <c r="D24" i="1"/>
  <c r="C24" i="1"/>
  <c r="A24" i="1"/>
  <c r="A23" i="1"/>
  <c r="G22" i="1"/>
  <c r="E22" i="1"/>
  <c r="D22" i="1"/>
  <c r="A22" i="1"/>
  <c r="C21" i="1"/>
  <c r="A21" i="1"/>
  <c r="C20" i="1"/>
  <c r="A20" i="1"/>
  <c r="A19" i="1"/>
  <c r="G18" i="1"/>
  <c r="D18" i="1"/>
  <c r="C18" i="1"/>
  <c r="A18" i="1"/>
  <c r="E17" i="1"/>
  <c r="C17" i="1"/>
  <c r="A17" i="1"/>
  <c r="A16" i="1"/>
  <c r="E15" i="1"/>
  <c r="A15" i="1"/>
  <c r="C14" i="1"/>
  <c r="A14" i="1"/>
  <c r="C13" i="1"/>
  <c r="B13" i="1"/>
  <c r="A13" i="1"/>
  <c r="A12" i="1"/>
  <c r="J3" i="1"/>
  <c r="J4" i="1" s="1"/>
  <c r="J5" i="1" s="1"/>
  <c r="J6" i="1" s="1"/>
  <c r="J7" i="1" s="1"/>
  <c r="J8" i="1" s="1"/>
  <c r="J9" i="1" s="1"/>
  <c r="J10" i="1" s="1"/>
  <c r="J11" i="1" s="1"/>
  <c r="J12" i="1" s="1"/>
  <c r="J13" i="1" s="1"/>
  <c r="J14" i="1" s="1"/>
  <c r="J15" i="1" s="1"/>
  <c r="J16" i="1" s="1"/>
  <c r="J17" i="1" s="1"/>
  <c r="J18" i="1" s="1"/>
  <c r="J19" i="1" s="1"/>
  <c r="J20" i="1" s="1"/>
  <c r="J21" i="1" s="1"/>
  <c r="J22" i="1" s="1"/>
  <c r="J23" i="1" s="1"/>
  <c r="J24" i="1" s="1"/>
  <c r="J25" i="1" s="1"/>
  <c r="J26" i="1" s="1"/>
  <c r="J27" i="1" s="1"/>
  <c r="J28" i="1" s="1"/>
  <c r="J29" i="1" s="1"/>
  <c r="J30" i="1" s="1"/>
  <c r="J31" i="1" s="1"/>
  <c r="J32" i="1" s="1"/>
  <c r="J33" i="1" s="1"/>
  <c r="J34" i="1" s="1"/>
  <c r="J35" i="1" s="1"/>
  <c r="J36" i="1" s="1"/>
  <c r="J37" i="1" s="1"/>
  <c r="J38" i="1" s="1"/>
  <c r="J39" i="1" s="1"/>
  <c r="J40" i="1" s="1"/>
  <c r="J41" i="1" s="1"/>
  <c r="J42" i="1" s="1"/>
  <c r="J43" i="1" s="1"/>
  <c r="J44" i="1" s="1"/>
  <c r="J45" i="1" s="1"/>
  <c r="J46" i="1" s="1"/>
  <c r="J47" i="1" s="1"/>
  <c r="J48" i="1" s="1"/>
  <c r="J49" i="1" s="1"/>
  <c r="J50" i="1" s="1"/>
  <c r="J51" i="1" s="1"/>
  <c r="J52" i="1" s="1"/>
  <c r="J53" i="1" s="1"/>
  <c r="J54" i="1" s="1"/>
  <c r="J55" i="1" s="1"/>
  <c r="J56" i="1" s="1"/>
  <c r="J57" i="1" s="1"/>
  <c r="J58" i="1" s="1"/>
  <c r="J59" i="1" s="1"/>
  <c r="J60" i="1" s="1"/>
  <c r="J61" i="1" s="1"/>
  <c r="J62" i="1" s="1"/>
  <c r="J63" i="1" s="1"/>
  <c r="J64" i="1" s="1"/>
  <c r="J65" i="1" s="1"/>
  <c r="J66" i="1" s="1"/>
  <c r="J67" i="1" s="1"/>
  <c r="J68" i="1" s="1"/>
  <c r="J69" i="1" s="1"/>
  <c r="J70" i="1" s="1"/>
  <c r="J71" i="1" s="1"/>
  <c r="J72" i="1" s="1"/>
  <c r="J73" i="1" s="1"/>
  <c r="J74" i="1" s="1"/>
  <c r="J75" i="1" s="1"/>
  <c r="J76" i="1" s="1"/>
  <c r="J77" i="1" s="1"/>
  <c r="J78" i="1" s="1"/>
  <c r="J79" i="1" s="1"/>
  <c r="J80" i="1" s="1"/>
  <c r="J81" i="1" s="1"/>
  <c r="J82" i="1" s="1"/>
  <c r="J83" i="1" s="1"/>
  <c r="J84" i="1" s="1"/>
  <c r="J85" i="1" s="1"/>
  <c r="J86" i="1" s="1"/>
  <c r="J87" i="1" s="1"/>
  <c r="J88" i="1" s="1"/>
  <c r="J89" i="1" s="1"/>
  <c r="J90" i="1" s="1"/>
  <c r="J91" i="1" s="1"/>
  <c r="J92" i="1" s="1"/>
  <c r="J93" i="1" s="1"/>
  <c r="J94" i="1" s="1"/>
  <c r="J95" i="1" s="1"/>
  <c r="J96" i="1" s="1"/>
  <c r="J97" i="1" s="1"/>
  <c r="J98" i="1" s="1"/>
  <c r="J99" i="1" s="1"/>
  <c r="J100" i="1" s="1"/>
  <c r="J101" i="1" s="1"/>
  <c r="J102" i="1" s="1"/>
  <c r="J103" i="1" s="1"/>
  <c r="J104" i="1" s="1"/>
  <c r="J105" i="1" s="1"/>
  <c r="J106" i="1" s="1"/>
  <c r="J107" i="1" s="1"/>
  <c r="J108" i="1" s="1"/>
  <c r="J109" i="1" s="1"/>
  <c r="J110" i="1" s="1"/>
  <c r="J111" i="1" s="1"/>
  <c r="J112" i="1" s="1"/>
  <c r="J113" i="1" s="1"/>
  <c r="J114" i="1" s="1"/>
  <c r="J115" i="1" s="1"/>
  <c r="J116" i="1" s="1"/>
  <c r="J117" i="1" s="1"/>
  <c r="J118" i="1" s="1"/>
  <c r="J119" i="1" s="1"/>
  <c r="J120" i="1" s="1"/>
  <c r="J121" i="1" s="1"/>
  <c r="J122" i="1" s="1"/>
  <c r="J123" i="1" s="1"/>
  <c r="J124" i="1" s="1"/>
  <c r="J125" i="1" s="1"/>
  <c r="J126" i="1" s="1"/>
  <c r="J127" i="1" s="1"/>
  <c r="J128" i="1" s="1"/>
  <c r="J129" i="1" s="1"/>
  <c r="J130" i="1" s="1"/>
  <c r="J131" i="1" s="1"/>
  <c r="J132" i="1" s="1"/>
  <c r="J133" i="1" s="1"/>
  <c r="J134" i="1" s="1"/>
  <c r="J135" i="1" s="1"/>
  <c r="J136" i="1" s="1"/>
  <c r="J137" i="1" s="1"/>
  <c r="J138" i="1" s="1"/>
  <c r="J139" i="1" s="1"/>
  <c r="J140" i="1" s="1"/>
  <c r="J141" i="1" s="1"/>
  <c r="J142" i="1" s="1"/>
  <c r="J143" i="1" s="1"/>
  <c r="J144" i="1" s="1"/>
  <c r="J145" i="1" s="1"/>
  <c r="J146" i="1" s="1"/>
  <c r="J147" i="1" s="1"/>
  <c r="J148" i="1" s="1"/>
  <c r="J149" i="1" s="1"/>
  <c r="J150" i="1" s="1"/>
  <c r="J151" i="1" s="1"/>
  <c r="J152" i="1" s="1"/>
  <c r="J153" i="1" s="1"/>
  <c r="J154" i="1" s="1"/>
  <c r="J155" i="1" s="1"/>
  <c r="J156" i="1" s="1"/>
  <c r="J157" i="1" s="1"/>
  <c r="J158" i="1" s="1"/>
  <c r="J159" i="1" s="1"/>
  <c r="J160" i="1" s="1"/>
  <c r="J161" i="1" s="1"/>
  <c r="J162" i="1" s="1"/>
  <c r="J163" i="1" s="1"/>
  <c r="J164" i="1" s="1"/>
  <c r="J165" i="1" s="1"/>
  <c r="J166" i="1" s="1"/>
  <c r="J167" i="1" s="1"/>
  <c r="J168" i="1" s="1"/>
  <c r="J169" i="1" s="1"/>
  <c r="J170" i="1" s="1"/>
  <c r="J171" i="1" s="1"/>
  <c r="J172" i="1" s="1"/>
  <c r="J173" i="1" s="1"/>
  <c r="J174" i="1" s="1"/>
  <c r="J175" i="1" s="1"/>
  <c r="J176" i="1" s="1"/>
  <c r="J177" i="1" s="1"/>
  <c r="J178" i="1" s="1"/>
  <c r="J179" i="1" s="1"/>
  <c r="J180" i="1" s="1"/>
  <c r="J181" i="1" s="1"/>
  <c r="J182" i="1" s="1"/>
  <c r="J183" i="1" s="1"/>
  <c r="J184" i="1" s="1"/>
  <c r="J185" i="1" s="1"/>
  <c r="J186" i="1" s="1"/>
  <c r="J187" i="1" s="1"/>
  <c r="J188" i="1" s="1"/>
  <c r="J189" i="1" s="1"/>
  <c r="J190" i="1" s="1"/>
  <c r="J191" i="1" s="1"/>
  <c r="J192" i="1" s="1"/>
  <c r="J193" i="1" s="1"/>
  <c r="J194" i="1" s="1"/>
  <c r="J195" i="1" s="1"/>
  <c r="J196" i="1" s="1"/>
  <c r="J197" i="1" s="1"/>
  <c r="J198" i="1" s="1"/>
  <c r="J199" i="1" s="1"/>
  <c r="J200" i="1" s="1"/>
  <c r="J201" i="1" s="1"/>
  <c r="J202" i="1" s="1"/>
  <c r="J203" i="1" s="1"/>
  <c r="J204" i="1" s="1"/>
  <c r="J205" i="1" s="1"/>
  <c r="J206" i="1" s="1"/>
  <c r="J207" i="1" s="1"/>
  <c r="J208" i="1" s="1"/>
  <c r="J209" i="1" s="1"/>
  <c r="J210" i="1" s="1"/>
  <c r="J211" i="1" s="1"/>
  <c r="J212" i="1" s="1"/>
  <c r="J213" i="1" s="1"/>
  <c r="J214" i="1" s="1"/>
  <c r="J215" i="1" s="1"/>
  <c r="G2" i="1" a="1"/>
  <c r="G2" i="1"/>
  <c r="G68" i="1" s="1"/>
  <c r="F2" i="1" a="1"/>
  <c r="F2" i="1" s="1"/>
  <c r="E2" i="1" a="1"/>
  <c r="E2" i="1"/>
  <c r="E74" i="1" s="1"/>
  <c r="D2" i="1" a="1"/>
  <c r="D2" i="1" s="1"/>
  <c r="D112" i="1" s="1"/>
  <c r="C2" i="1" a="1"/>
  <c r="C2" i="1" s="1"/>
  <c r="C115" i="1" s="1"/>
  <c r="B2" i="1" a="1"/>
  <c r="B2" i="1" s="1"/>
  <c r="B108" i="1" s="1"/>
  <c r="F291" i="1" l="1"/>
  <c r="F280" i="1"/>
  <c r="F269" i="1"/>
  <c r="F258" i="1"/>
  <c r="F244" i="1"/>
  <c r="F233" i="1"/>
  <c r="F222" i="1"/>
  <c r="F209" i="1"/>
  <c r="F198" i="1"/>
  <c r="F283" i="1"/>
  <c r="F272" i="1"/>
  <c r="F261" i="1"/>
  <c r="F247" i="1"/>
  <c r="F236" i="1"/>
  <c r="F225" i="1"/>
  <c r="F213" i="1"/>
  <c r="F202" i="1"/>
  <c r="F191" i="1"/>
  <c r="F180" i="1"/>
  <c r="F174" i="1"/>
  <c r="F163" i="1"/>
  <c r="F286" i="1"/>
  <c r="F275" i="1"/>
  <c r="F264" i="1"/>
  <c r="F250" i="1"/>
  <c r="F239" i="1"/>
  <c r="F228" i="1"/>
  <c r="F289" i="1"/>
  <c r="F278" i="1"/>
  <c r="F267" i="1"/>
  <c r="F253" i="1"/>
  <c r="F242" i="1"/>
  <c r="F231" i="1"/>
  <c r="F220" i="1"/>
  <c r="F210" i="1"/>
  <c r="F199" i="1"/>
  <c r="F188" i="1"/>
  <c r="F171" i="1"/>
  <c r="F287" i="1"/>
  <c r="F276" i="1"/>
  <c r="F265" i="1"/>
  <c r="F290" i="1"/>
  <c r="F252" i="1"/>
  <c r="F232" i="1"/>
  <c r="F193" i="1"/>
  <c r="F159" i="1"/>
  <c r="F152" i="1"/>
  <c r="F234" i="1"/>
  <c r="F227" i="1"/>
  <c r="F214" i="1"/>
  <c r="F208" i="1"/>
  <c r="F206" i="1"/>
  <c r="F189" i="1"/>
  <c r="F184" i="1"/>
  <c r="F172" i="1"/>
  <c r="F167" i="1"/>
  <c r="F162" i="1"/>
  <c r="F156" i="1"/>
  <c r="F145" i="1"/>
  <c r="F266" i="1"/>
  <c r="F263" i="1"/>
  <c r="F260" i="1"/>
  <c r="F257" i="1"/>
  <c r="F249" i="1"/>
  <c r="F229" i="1"/>
  <c r="F212" i="1"/>
  <c r="F204" i="1"/>
  <c r="F177" i="1"/>
  <c r="F149" i="1"/>
  <c r="F251" i="1"/>
  <c r="F224" i="1"/>
  <c r="F200" i="1"/>
  <c r="F182" i="1"/>
  <c r="F175" i="1"/>
  <c r="F165" i="1"/>
  <c r="F160" i="1"/>
  <c r="F153" i="1"/>
  <c r="F142" i="1"/>
  <c r="F133" i="1"/>
  <c r="F122" i="1"/>
  <c r="F111" i="1"/>
  <c r="F277" i="1"/>
  <c r="F274" i="1"/>
  <c r="F271" i="1"/>
  <c r="F268" i="1"/>
  <c r="F246" i="1"/>
  <c r="F226" i="1"/>
  <c r="F219" i="1"/>
  <c r="F196" i="1"/>
  <c r="F187" i="1"/>
  <c r="F170" i="1"/>
  <c r="F157" i="1"/>
  <c r="F146" i="1"/>
  <c r="F126" i="1"/>
  <c r="F262" i="1"/>
  <c r="F259" i="1"/>
  <c r="F248" i="1"/>
  <c r="F241" i="1"/>
  <c r="F221" i="1"/>
  <c r="F192" i="1"/>
  <c r="F185" i="1"/>
  <c r="F168" i="1"/>
  <c r="F150" i="1"/>
  <c r="F130" i="1"/>
  <c r="F288" i="1"/>
  <c r="F285" i="1"/>
  <c r="F282" i="1"/>
  <c r="F279" i="1"/>
  <c r="F243" i="1"/>
  <c r="F223" i="1"/>
  <c r="F211" i="1"/>
  <c r="F207" i="1"/>
  <c r="F194" i="1"/>
  <c r="F173" i="1"/>
  <c r="F154" i="1"/>
  <c r="F143" i="1"/>
  <c r="F134" i="1"/>
  <c r="F273" i="1"/>
  <c r="F270" i="1"/>
  <c r="F245" i="1"/>
  <c r="F238" i="1"/>
  <c r="F203" i="1"/>
  <c r="F190" i="1"/>
  <c r="F161" i="1"/>
  <c r="F158" i="1"/>
  <c r="F147" i="1"/>
  <c r="F240" i="1"/>
  <c r="F215" i="1"/>
  <c r="F205" i="1"/>
  <c r="F183" i="1"/>
  <c r="F176" i="1"/>
  <c r="F166" i="1"/>
  <c r="F151" i="1"/>
  <c r="F284" i="1"/>
  <c r="F281" i="1"/>
  <c r="F235" i="1"/>
  <c r="F201" i="1"/>
  <c r="F181" i="1"/>
  <c r="F164" i="1"/>
  <c r="F155" i="1"/>
  <c r="F144" i="1"/>
  <c r="F237" i="1"/>
  <c r="F230" i="1"/>
  <c r="F197" i="1"/>
  <c r="F195" i="1"/>
  <c r="F186" i="1"/>
  <c r="F169" i="1"/>
  <c r="F148" i="1"/>
  <c r="F121" i="1"/>
  <c r="F116" i="1"/>
  <c r="F113" i="1"/>
  <c r="F106" i="1"/>
  <c r="F90" i="1"/>
  <c r="F79" i="1"/>
  <c r="F68" i="1"/>
  <c r="F57" i="1"/>
  <c r="F45" i="1"/>
  <c r="F34" i="1"/>
  <c r="F23" i="1"/>
  <c r="F12" i="1"/>
  <c r="F88" i="1"/>
  <c r="F66" i="1"/>
  <c r="F32" i="1"/>
  <c r="F124" i="1"/>
  <c r="F119" i="1"/>
  <c r="F110" i="1"/>
  <c r="F83" i="1"/>
  <c r="F72" i="1"/>
  <c r="F61" i="1"/>
  <c r="F38" i="1"/>
  <c r="F27" i="1"/>
  <c r="F16" i="1"/>
  <c r="F132" i="1"/>
  <c r="F128" i="1"/>
  <c r="F103" i="1"/>
  <c r="F87" i="1"/>
  <c r="F76" i="1"/>
  <c r="F65" i="1"/>
  <c r="F42" i="1"/>
  <c r="F31" i="1"/>
  <c r="F20" i="1"/>
  <c r="F107" i="1"/>
  <c r="F80" i="1"/>
  <c r="F69" i="1"/>
  <c r="F58" i="1"/>
  <c r="F46" i="1"/>
  <c r="F35" i="1"/>
  <c r="F24" i="1"/>
  <c r="F13" i="1"/>
  <c r="F131" i="1"/>
  <c r="F117" i="1"/>
  <c r="F114" i="1"/>
  <c r="F100" i="1"/>
  <c r="F84" i="1"/>
  <c r="F73" i="1"/>
  <c r="F62" i="1"/>
  <c r="F39" i="1"/>
  <c r="F28" i="1"/>
  <c r="F17" i="1"/>
  <c r="F104" i="1"/>
  <c r="F77" i="1"/>
  <c r="F43" i="1"/>
  <c r="F127" i="1"/>
  <c r="F125" i="1"/>
  <c r="F120" i="1"/>
  <c r="F108" i="1"/>
  <c r="F81" i="1"/>
  <c r="F70" i="1"/>
  <c r="F59" i="1"/>
  <c r="F115" i="1"/>
  <c r="F101" i="1"/>
  <c r="F85" i="1"/>
  <c r="F123" i="1"/>
  <c r="F112" i="1"/>
  <c r="F105" i="1"/>
  <c r="F86" i="1"/>
  <c r="F82" i="1"/>
  <c r="F63" i="1"/>
  <c r="F40" i="1"/>
  <c r="F89" i="1"/>
  <c r="F60" i="1"/>
  <c r="F109" i="1"/>
  <c r="F37" i="1"/>
  <c r="F29" i="1"/>
  <c r="F22" i="1"/>
  <c r="F78" i="1"/>
  <c r="F75" i="1"/>
  <c r="F118" i="1"/>
  <c r="F74" i="1"/>
  <c r="F36" i="1"/>
  <c r="F26" i="1"/>
  <c r="F18" i="1"/>
  <c r="F129" i="1"/>
  <c r="F71" i="1"/>
  <c r="F21" i="1"/>
  <c r="F19" i="1"/>
  <c r="F44" i="1"/>
  <c r="F14" i="1"/>
  <c r="F41" i="1"/>
  <c r="F33" i="1"/>
  <c r="F30" i="1"/>
  <c r="F67" i="1"/>
  <c r="F64" i="1"/>
  <c r="F25" i="1"/>
  <c r="F102" i="1"/>
  <c r="F15" i="1"/>
  <c r="F56" i="1"/>
  <c r="B16" i="1"/>
  <c r="B21" i="1"/>
  <c r="D33" i="1"/>
  <c r="G82" i="1"/>
  <c r="G86" i="1"/>
  <c r="G90" i="1"/>
  <c r="G106" i="1"/>
  <c r="G23" i="1"/>
  <c r="B28" i="1"/>
  <c r="G30" i="1"/>
  <c r="E33" i="1"/>
  <c r="B36" i="1"/>
  <c r="D44" i="1"/>
  <c r="B58" i="1"/>
  <c r="E70" i="1"/>
  <c r="B77" i="1"/>
  <c r="G102" i="1"/>
  <c r="G116" i="1"/>
  <c r="G121" i="1"/>
  <c r="B127" i="1"/>
  <c r="B80" i="1"/>
  <c r="D285" i="1"/>
  <c r="D274" i="1"/>
  <c r="D263" i="1"/>
  <c r="D249" i="1"/>
  <c r="D238" i="1"/>
  <c r="D227" i="1"/>
  <c r="D212" i="1"/>
  <c r="D201" i="1"/>
  <c r="D190" i="1"/>
  <c r="D288" i="1"/>
  <c r="D277" i="1"/>
  <c r="D266" i="1"/>
  <c r="D252" i="1"/>
  <c r="D241" i="1"/>
  <c r="D230" i="1"/>
  <c r="D219" i="1"/>
  <c r="D205" i="1"/>
  <c r="D194" i="1"/>
  <c r="D183" i="1"/>
  <c r="D177" i="1"/>
  <c r="D166" i="1"/>
  <c r="D291" i="1"/>
  <c r="D280" i="1"/>
  <c r="D269" i="1"/>
  <c r="D258" i="1"/>
  <c r="D244" i="1"/>
  <c r="D233" i="1"/>
  <c r="D222" i="1"/>
  <c r="D283" i="1"/>
  <c r="D272" i="1"/>
  <c r="D261" i="1"/>
  <c r="D247" i="1"/>
  <c r="D236" i="1"/>
  <c r="D225" i="1"/>
  <c r="D213" i="1"/>
  <c r="D202" i="1"/>
  <c r="D191" i="1"/>
  <c r="D180" i="1"/>
  <c r="D174" i="1"/>
  <c r="D163" i="1"/>
  <c r="D281" i="1"/>
  <c r="D270" i="1"/>
  <c r="D259" i="1"/>
  <c r="D290" i="1"/>
  <c r="D278" i="1"/>
  <c r="D275" i="1"/>
  <c r="D242" i="1"/>
  <c r="D235" i="1"/>
  <c r="D195" i="1"/>
  <c r="D181" i="1"/>
  <c r="D164" i="1"/>
  <c r="D155" i="1"/>
  <c r="D144" i="1"/>
  <c r="D237" i="1"/>
  <c r="D210" i="1"/>
  <c r="D197" i="1"/>
  <c r="D186" i="1"/>
  <c r="D169" i="1"/>
  <c r="D159" i="1"/>
  <c r="D148" i="1"/>
  <c r="D128" i="1"/>
  <c r="D289" i="1"/>
  <c r="D286" i="1"/>
  <c r="D239" i="1"/>
  <c r="D232" i="1"/>
  <c r="D206" i="1"/>
  <c r="D193" i="1"/>
  <c r="D184" i="1"/>
  <c r="D167" i="1"/>
  <c r="D152" i="1"/>
  <c r="D132" i="1"/>
  <c r="D234" i="1"/>
  <c r="D214" i="1"/>
  <c r="D208" i="1"/>
  <c r="D189" i="1"/>
  <c r="D172" i="1"/>
  <c r="D162" i="1"/>
  <c r="D156" i="1"/>
  <c r="D145" i="1"/>
  <c r="D125" i="1"/>
  <c r="D114" i="1"/>
  <c r="D260" i="1"/>
  <c r="D257" i="1"/>
  <c r="D229" i="1"/>
  <c r="D204" i="1"/>
  <c r="D149" i="1"/>
  <c r="D129" i="1"/>
  <c r="D118" i="1"/>
  <c r="D251" i="1"/>
  <c r="D231" i="1"/>
  <c r="D224" i="1"/>
  <c r="D200" i="1"/>
  <c r="D198" i="1"/>
  <c r="D187" i="1"/>
  <c r="D182" i="1"/>
  <c r="D175" i="1"/>
  <c r="D170" i="1"/>
  <c r="D165" i="1"/>
  <c r="D160" i="1"/>
  <c r="D153" i="1"/>
  <c r="D142" i="1"/>
  <c r="D133" i="1"/>
  <c r="D271" i="1"/>
  <c r="D268" i="1"/>
  <c r="D265" i="1"/>
  <c r="D262" i="1"/>
  <c r="D246" i="1"/>
  <c r="D226" i="1"/>
  <c r="D196" i="1"/>
  <c r="D157" i="1"/>
  <c r="D146" i="1"/>
  <c r="D126" i="1"/>
  <c r="D253" i="1"/>
  <c r="D248" i="1"/>
  <c r="D228" i="1"/>
  <c r="D221" i="1"/>
  <c r="D209" i="1"/>
  <c r="D192" i="1"/>
  <c r="D185" i="1"/>
  <c r="D168" i="1"/>
  <c r="D150" i="1"/>
  <c r="D130" i="1"/>
  <c r="D282" i="1"/>
  <c r="D279" i="1"/>
  <c r="D276" i="1"/>
  <c r="D273" i="1"/>
  <c r="D250" i="1"/>
  <c r="D243" i="1"/>
  <c r="D223" i="1"/>
  <c r="D211" i="1"/>
  <c r="D207" i="1"/>
  <c r="D173" i="1"/>
  <c r="D154" i="1"/>
  <c r="D143" i="1"/>
  <c r="D134" i="1"/>
  <c r="D267" i="1"/>
  <c r="D264" i="1"/>
  <c r="D245" i="1"/>
  <c r="D203" i="1"/>
  <c r="D188" i="1"/>
  <c r="D171" i="1"/>
  <c r="D161" i="1"/>
  <c r="D158" i="1"/>
  <c r="D147" i="1"/>
  <c r="D127" i="1"/>
  <c r="D287" i="1"/>
  <c r="D284" i="1"/>
  <c r="D240" i="1"/>
  <c r="D220" i="1"/>
  <c r="D215" i="1"/>
  <c r="D199" i="1"/>
  <c r="D176" i="1"/>
  <c r="D151" i="1"/>
  <c r="D131" i="1"/>
  <c r="D109" i="1"/>
  <c r="D82" i="1"/>
  <c r="D71" i="1"/>
  <c r="D60" i="1"/>
  <c r="D37" i="1"/>
  <c r="D26" i="1"/>
  <c r="D15" i="1"/>
  <c r="D69" i="1"/>
  <c r="D58" i="1"/>
  <c r="D35" i="1"/>
  <c r="D102" i="1"/>
  <c r="D86" i="1"/>
  <c r="D75" i="1"/>
  <c r="D64" i="1"/>
  <c r="D41" i="1"/>
  <c r="D30" i="1"/>
  <c r="D19" i="1"/>
  <c r="D121" i="1"/>
  <c r="D116" i="1"/>
  <c r="D113" i="1"/>
  <c r="D106" i="1"/>
  <c r="D90" i="1"/>
  <c r="D79" i="1"/>
  <c r="D68" i="1"/>
  <c r="D57" i="1"/>
  <c r="D45" i="1"/>
  <c r="D34" i="1"/>
  <c r="D23" i="1"/>
  <c r="D12" i="1"/>
  <c r="D119" i="1"/>
  <c r="D110" i="1"/>
  <c r="D83" i="1"/>
  <c r="D72" i="1"/>
  <c r="D61" i="1"/>
  <c r="D38" i="1"/>
  <c r="D27" i="1"/>
  <c r="D16" i="1"/>
  <c r="D124" i="1"/>
  <c r="D103" i="1"/>
  <c r="D87" i="1"/>
  <c r="D76" i="1"/>
  <c r="D65" i="1"/>
  <c r="D42" i="1"/>
  <c r="D31" i="1"/>
  <c r="D20" i="1"/>
  <c r="D122" i="1"/>
  <c r="D107" i="1"/>
  <c r="D80" i="1"/>
  <c r="D46" i="1"/>
  <c r="D117" i="1"/>
  <c r="D111" i="1"/>
  <c r="D100" i="1"/>
  <c r="D84" i="1"/>
  <c r="D73" i="1"/>
  <c r="D62" i="1"/>
  <c r="D104" i="1"/>
  <c r="D88" i="1"/>
  <c r="D120" i="1"/>
  <c r="D108" i="1"/>
  <c r="D14" i="1"/>
  <c r="E14" i="1"/>
  <c r="D21" i="1"/>
  <c r="G25" i="1"/>
  <c r="E44" i="1"/>
  <c r="G64" i="1"/>
  <c r="G67" i="1"/>
  <c r="G12" i="1"/>
  <c r="B17" i="1"/>
  <c r="E21" i="1"/>
  <c r="D28" i="1"/>
  <c r="G33" i="1"/>
  <c r="D36" i="1"/>
  <c r="B39" i="1"/>
  <c r="G41" i="1"/>
  <c r="B59" i="1"/>
  <c r="E71" i="1"/>
  <c r="D74" i="1"/>
  <c r="D77" i="1"/>
  <c r="E112" i="1"/>
  <c r="G14" i="1"/>
  <c r="B24" i="1"/>
  <c r="E26" i="1"/>
  <c r="B31" i="1"/>
  <c r="E36" i="1"/>
  <c r="G44" i="1"/>
  <c r="D56" i="1"/>
  <c r="B62" i="1"/>
  <c r="B81" i="1"/>
  <c r="B84" i="1"/>
  <c r="B88" i="1"/>
  <c r="B290" i="1"/>
  <c r="B279" i="1"/>
  <c r="B268" i="1"/>
  <c r="B257" i="1"/>
  <c r="B243" i="1"/>
  <c r="B232" i="1"/>
  <c r="B221" i="1"/>
  <c r="B215" i="1"/>
  <c r="B204" i="1"/>
  <c r="B193" i="1"/>
  <c r="B282" i="1"/>
  <c r="B271" i="1"/>
  <c r="B260" i="1"/>
  <c r="B246" i="1"/>
  <c r="B235" i="1"/>
  <c r="B224" i="1"/>
  <c r="B208" i="1"/>
  <c r="B197" i="1"/>
  <c r="B186" i="1"/>
  <c r="B169" i="1"/>
  <c r="B285" i="1"/>
  <c r="B274" i="1"/>
  <c r="B263" i="1"/>
  <c r="B249" i="1"/>
  <c r="B238" i="1"/>
  <c r="B227" i="1"/>
  <c r="B212" i="1"/>
  <c r="B288" i="1"/>
  <c r="B277" i="1"/>
  <c r="B266" i="1"/>
  <c r="B252" i="1"/>
  <c r="B241" i="1"/>
  <c r="B230" i="1"/>
  <c r="B219" i="1"/>
  <c r="B205" i="1"/>
  <c r="B194" i="1"/>
  <c r="B183" i="1"/>
  <c r="B177" i="1"/>
  <c r="B166" i="1"/>
  <c r="B291" i="1"/>
  <c r="B286" i="1"/>
  <c r="B275" i="1"/>
  <c r="B264" i="1"/>
  <c r="B261" i="1"/>
  <c r="B258" i="1"/>
  <c r="B245" i="1"/>
  <c r="B225" i="1"/>
  <c r="B203" i="1"/>
  <c r="B201" i="1"/>
  <c r="B188" i="1"/>
  <c r="B171" i="1"/>
  <c r="B161" i="1"/>
  <c r="B158" i="1"/>
  <c r="B147" i="1"/>
  <c r="B287" i="1"/>
  <c r="B284" i="1"/>
  <c r="B281" i="1"/>
  <c r="B278" i="1"/>
  <c r="B247" i="1"/>
  <c r="B240" i="1"/>
  <c r="B220" i="1"/>
  <c r="B199" i="1"/>
  <c r="B176" i="1"/>
  <c r="B151" i="1"/>
  <c r="B131" i="1"/>
  <c r="B272" i="1"/>
  <c r="B269" i="1"/>
  <c r="B242" i="1"/>
  <c r="B222" i="1"/>
  <c r="B195" i="1"/>
  <c r="B181" i="1"/>
  <c r="B174" i="1"/>
  <c r="B164" i="1"/>
  <c r="B155" i="1"/>
  <c r="B144" i="1"/>
  <c r="B289" i="1"/>
  <c r="B244" i="1"/>
  <c r="B237" i="1"/>
  <c r="B210" i="1"/>
  <c r="B191" i="1"/>
  <c r="B159" i="1"/>
  <c r="B148" i="1"/>
  <c r="B128" i="1"/>
  <c r="B117" i="1"/>
  <c r="B283" i="1"/>
  <c r="B280" i="1"/>
  <c r="B239" i="1"/>
  <c r="B206" i="1"/>
  <c r="B184" i="1"/>
  <c r="B167" i="1"/>
  <c r="B162" i="1"/>
  <c r="B152" i="1"/>
  <c r="B132" i="1"/>
  <c r="B121" i="1"/>
  <c r="B234" i="1"/>
  <c r="B214" i="1"/>
  <c r="B202" i="1"/>
  <c r="B189" i="1"/>
  <c r="B172" i="1"/>
  <c r="B156" i="1"/>
  <c r="B145" i="1"/>
  <c r="B236" i="1"/>
  <c r="B229" i="1"/>
  <c r="B198" i="1"/>
  <c r="B187" i="1"/>
  <c r="B170" i="1"/>
  <c r="B149" i="1"/>
  <c r="B129" i="1"/>
  <c r="B251" i="1"/>
  <c r="B231" i="1"/>
  <c r="B200" i="1"/>
  <c r="B182" i="1"/>
  <c r="B175" i="1"/>
  <c r="B165" i="1"/>
  <c r="B160" i="1"/>
  <c r="B153" i="1"/>
  <c r="B142" i="1"/>
  <c r="B133" i="1"/>
  <c r="B265" i="1"/>
  <c r="B262" i="1"/>
  <c r="B259" i="1"/>
  <c r="B253" i="1"/>
  <c r="B233" i="1"/>
  <c r="B226" i="1"/>
  <c r="B209" i="1"/>
  <c r="B196" i="1"/>
  <c r="B180" i="1"/>
  <c r="B163" i="1"/>
  <c r="B157" i="1"/>
  <c r="B146" i="1"/>
  <c r="B248" i="1"/>
  <c r="B228" i="1"/>
  <c r="B213" i="1"/>
  <c r="B192" i="1"/>
  <c r="B190" i="1"/>
  <c r="B185" i="1"/>
  <c r="B173" i="1"/>
  <c r="B168" i="1"/>
  <c r="B150" i="1"/>
  <c r="B130" i="1"/>
  <c r="B276" i="1"/>
  <c r="B273" i="1"/>
  <c r="B270" i="1"/>
  <c r="B267" i="1"/>
  <c r="B250" i="1"/>
  <c r="B223" i="1"/>
  <c r="B211" i="1"/>
  <c r="B207" i="1"/>
  <c r="B154" i="1"/>
  <c r="B143" i="1"/>
  <c r="B134" i="1"/>
  <c r="B118" i="1"/>
  <c r="B115" i="1"/>
  <c r="B101" i="1"/>
  <c r="B85" i="1"/>
  <c r="B74" i="1"/>
  <c r="B63" i="1"/>
  <c r="B40" i="1"/>
  <c r="B29" i="1"/>
  <c r="B18" i="1"/>
  <c r="B83" i="1"/>
  <c r="B72" i="1"/>
  <c r="B61" i="1"/>
  <c r="B38" i="1"/>
  <c r="B123" i="1"/>
  <c r="B112" i="1"/>
  <c r="B105" i="1"/>
  <c r="B89" i="1"/>
  <c r="B78" i="1"/>
  <c r="B67" i="1"/>
  <c r="B56" i="1"/>
  <c r="B44" i="1"/>
  <c r="B33" i="1"/>
  <c r="B22" i="1"/>
  <c r="B126" i="1"/>
  <c r="B109" i="1"/>
  <c r="B82" i="1"/>
  <c r="B71" i="1"/>
  <c r="B60" i="1"/>
  <c r="B37" i="1"/>
  <c r="B26" i="1"/>
  <c r="B15" i="1"/>
  <c r="B102" i="1"/>
  <c r="B86" i="1"/>
  <c r="B75" i="1"/>
  <c r="B64" i="1"/>
  <c r="B41" i="1"/>
  <c r="B30" i="1"/>
  <c r="B19" i="1"/>
  <c r="B116" i="1"/>
  <c r="B113" i="1"/>
  <c r="B106" i="1"/>
  <c r="B90" i="1"/>
  <c r="B79" i="1"/>
  <c r="B68" i="1"/>
  <c r="B57" i="1"/>
  <c r="B45" i="1"/>
  <c r="B34" i="1"/>
  <c r="B23" i="1"/>
  <c r="B12" i="1"/>
  <c r="B124" i="1"/>
  <c r="B119" i="1"/>
  <c r="B110" i="1"/>
  <c r="B103" i="1"/>
  <c r="B87" i="1"/>
  <c r="B76" i="1"/>
  <c r="B65" i="1"/>
  <c r="B122" i="1"/>
  <c r="B114" i="1"/>
  <c r="B107" i="1"/>
  <c r="B125" i="1"/>
  <c r="B111" i="1"/>
  <c r="D70" i="1"/>
  <c r="E288" i="1"/>
  <c r="E277" i="1"/>
  <c r="E266" i="1"/>
  <c r="E252" i="1"/>
  <c r="E241" i="1"/>
  <c r="E230" i="1"/>
  <c r="E219" i="1"/>
  <c r="E205" i="1"/>
  <c r="E194" i="1"/>
  <c r="E291" i="1"/>
  <c r="E280" i="1"/>
  <c r="E269" i="1"/>
  <c r="E258" i="1"/>
  <c r="E244" i="1"/>
  <c r="E233" i="1"/>
  <c r="E222" i="1"/>
  <c r="E209" i="1"/>
  <c r="E198" i="1"/>
  <c r="E187" i="1"/>
  <c r="E170" i="1"/>
  <c r="E159" i="1"/>
  <c r="E283" i="1"/>
  <c r="E272" i="1"/>
  <c r="E261" i="1"/>
  <c r="E247" i="1"/>
  <c r="E236" i="1"/>
  <c r="E225" i="1"/>
  <c r="E213" i="1"/>
  <c r="E286" i="1"/>
  <c r="E275" i="1"/>
  <c r="E264" i="1"/>
  <c r="E250" i="1"/>
  <c r="E239" i="1"/>
  <c r="E228" i="1"/>
  <c r="E206" i="1"/>
  <c r="E195" i="1"/>
  <c r="E184" i="1"/>
  <c r="E167" i="1"/>
  <c r="E284" i="1"/>
  <c r="E273" i="1"/>
  <c r="E262" i="1"/>
  <c r="E290" i="1"/>
  <c r="E237" i="1"/>
  <c r="E210" i="1"/>
  <c r="E197" i="1"/>
  <c r="E186" i="1"/>
  <c r="E174" i="1"/>
  <c r="E169" i="1"/>
  <c r="E148" i="1"/>
  <c r="E289" i="1"/>
  <c r="E232" i="1"/>
  <c r="E193" i="1"/>
  <c r="E191" i="1"/>
  <c r="E152" i="1"/>
  <c r="E132" i="1"/>
  <c r="E234" i="1"/>
  <c r="E227" i="1"/>
  <c r="E214" i="1"/>
  <c r="E208" i="1"/>
  <c r="E189" i="1"/>
  <c r="E172" i="1"/>
  <c r="E162" i="1"/>
  <c r="E156" i="1"/>
  <c r="E145" i="1"/>
  <c r="E263" i="1"/>
  <c r="E260" i="1"/>
  <c r="E257" i="1"/>
  <c r="E249" i="1"/>
  <c r="E229" i="1"/>
  <c r="E212" i="1"/>
  <c r="E204" i="1"/>
  <c r="E202" i="1"/>
  <c r="E177" i="1"/>
  <c r="E149" i="1"/>
  <c r="E129" i="1"/>
  <c r="E118" i="1"/>
  <c r="E251" i="1"/>
  <c r="E231" i="1"/>
  <c r="E224" i="1"/>
  <c r="E200" i="1"/>
  <c r="E182" i="1"/>
  <c r="E175" i="1"/>
  <c r="E165" i="1"/>
  <c r="E160" i="1"/>
  <c r="E153" i="1"/>
  <c r="E142" i="1"/>
  <c r="E133" i="1"/>
  <c r="E122" i="1"/>
  <c r="E274" i="1"/>
  <c r="E271" i="1"/>
  <c r="E268" i="1"/>
  <c r="E265" i="1"/>
  <c r="E246" i="1"/>
  <c r="E226" i="1"/>
  <c r="E196" i="1"/>
  <c r="E157" i="1"/>
  <c r="E146" i="1"/>
  <c r="E126" i="1"/>
  <c r="E259" i="1"/>
  <c r="E253" i="1"/>
  <c r="E248" i="1"/>
  <c r="E221" i="1"/>
  <c r="E192" i="1"/>
  <c r="E185" i="1"/>
  <c r="E180" i="1"/>
  <c r="E168" i="1"/>
  <c r="E163" i="1"/>
  <c r="E150" i="1"/>
  <c r="E130" i="1"/>
  <c r="E285" i="1"/>
  <c r="E282" i="1"/>
  <c r="E279" i="1"/>
  <c r="E276" i="1"/>
  <c r="E243" i="1"/>
  <c r="E223" i="1"/>
  <c r="E211" i="1"/>
  <c r="E207" i="1"/>
  <c r="E173" i="1"/>
  <c r="E154" i="1"/>
  <c r="E143" i="1"/>
  <c r="E134" i="1"/>
  <c r="E270" i="1"/>
  <c r="E267" i="1"/>
  <c r="E245" i="1"/>
  <c r="E238" i="1"/>
  <c r="E203" i="1"/>
  <c r="E190" i="1"/>
  <c r="E188" i="1"/>
  <c r="E171" i="1"/>
  <c r="E161" i="1"/>
  <c r="E158" i="1"/>
  <c r="E147" i="1"/>
  <c r="E287" i="1"/>
  <c r="E240" i="1"/>
  <c r="E220" i="1"/>
  <c r="E215" i="1"/>
  <c r="E199" i="1"/>
  <c r="E183" i="1"/>
  <c r="E176" i="1"/>
  <c r="E166" i="1"/>
  <c r="E151" i="1"/>
  <c r="E131" i="1"/>
  <c r="E281" i="1"/>
  <c r="E278" i="1"/>
  <c r="E242" i="1"/>
  <c r="E235" i="1"/>
  <c r="E201" i="1"/>
  <c r="E181" i="1"/>
  <c r="E164" i="1"/>
  <c r="E155" i="1"/>
  <c r="E144" i="1"/>
  <c r="E102" i="1"/>
  <c r="E86" i="1"/>
  <c r="E75" i="1"/>
  <c r="E64" i="1"/>
  <c r="E41" i="1"/>
  <c r="E30" i="1"/>
  <c r="E19" i="1"/>
  <c r="E111" i="1"/>
  <c r="E62" i="1"/>
  <c r="E121" i="1"/>
  <c r="E116" i="1"/>
  <c r="E113" i="1"/>
  <c r="E106" i="1"/>
  <c r="E90" i="1"/>
  <c r="E79" i="1"/>
  <c r="E68" i="1"/>
  <c r="E57" i="1"/>
  <c r="E45" i="1"/>
  <c r="E34" i="1"/>
  <c r="E23" i="1"/>
  <c r="E12" i="1"/>
  <c r="E124" i="1"/>
  <c r="E119" i="1"/>
  <c r="E110" i="1"/>
  <c r="E83" i="1"/>
  <c r="E72" i="1"/>
  <c r="E61" i="1"/>
  <c r="E38" i="1"/>
  <c r="E27" i="1"/>
  <c r="E16" i="1"/>
  <c r="E128" i="1"/>
  <c r="E103" i="1"/>
  <c r="E87" i="1"/>
  <c r="E76" i="1"/>
  <c r="E65" i="1"/>
  <c r="E42" i="1"/>
  <c r="E31" i="1"/>
  <c r="E20" i="1"/>
  <c r="E107" i="1"/>
  <c r="E80" i="1"/>
  <c r="E69" i="1"/>
  <c r="E58" i="1"/>
  <c r="E46" i="1"/>
  <c r="E35" i="1"/>
  <c r="E24" i="1"/>
  <c r="E13" i="1"/>
  <c r="E117" i="1"/>
  <c r="E114" i="1"/>
  <c r="E100" i="1"/>
  <c r="E84" i="1"/>
  <c r="E73" i="1"/>
  <c r="E39" i="1"/>
  <c r="E28" i="1"/>
  <c r="E104" i="1"/>
  <c r="E88" i="1"/>
  <c r="E77" i="1"/>
  <c r="E66" i="1"/>
  <c r="E43" i="1"/>
  <c r="E127" i="1"/>
  <c r="E125" i="1"/>
  <c r="E120" i="1"/>
  <c r="E108" i="1"/>
  <c r="E115" i="1"/>
  <c r="G291" i="1"/>
  <c r="G283" i="1"/>
  <c r="G272" i="1"/>
  <c r="G261" i="1"/>
  <c r="G247" i="1"/>
  <c r="G236" i="1"/>
  <c r="G225" i="1"/>
  <c r="G213" i="1"/>
  <c r="G202" i="1"/>
  <c r="G191" i="1"/>
  <c r="G286" i="1"/>
  <c r="G275" i="1"/>
  <c r="G264" i="1"/>
  <c r="G250" i="1"/>
  <c r="G239" i="1"/>
  <c r="G228" i="1"/>
  <c r="G206" i="1"/>
  <c r="G195" i="1"/>
  <c r="G184" i="1"/>
  <c r="G167" i="1"/>
  <c r="G289" i="1"/>
  <c r="G278" i="1"/>
  <c r="G267" i="1"/>
  <c r="G253" i="1"/>
  <c r="G242" i="1"/>
  <c r="G231" i="1"/>
  <c r="G220" i="1"/>
  <c r="G210" i="1"/>
  <c r="G281" i="1"/>
  <c r="G270" i="1"/>
  <c r="G259" i="1"/>
  <c r="G245" i="1"/>
  <c r="G234" i="1"/>
  <c r="G223" i="1"/>
  <c r="G214" i="1"/>
  <c r="G203" i="1"/>
  <c r="G192" i="1"/>
  <c r="G181" i="1"/>
  <c r="G175" i="1"/>
  <c r="G164" i="1"/>
  <c r="G290" i="1"/>
  <c r="G279" i="1"/>
  <c r="G268" i="1"/>
  <c r="G257" i="1"/>
  <c r="G227" i="1"/>
  <c r="G208" i="1"/>
  <c r="G189" i="1"/>
  <c r="G172" i="1"/>
  <c r="G162" i="1"/>
  <c r="G156" i="1"/>
  <c r="G145" i="1"/>
  <c r="G269" i="1"/>
  <c r="G266" i="1"/>
  <c r="G263" i="1"/>
  <c r="G260" i="1"/>
  <c r="G249" i="1"/>
  <c r="G229" i="1"/>
  <c r="G222" i="1"/>
  <c r="G212" i="1"/>
  <c r="G204" i="1"/>
  <c r="G177" i="1"/>
  <c r="G149" i="1"/>
  <c r="G129" i="1"/>
  <c r="G251" i="1"/>
  <c r="G244" i="1"/>
  <c r="G224" i="1"/>
  <c r="G200" i="1"/>
  <c r="G182" i="1"/>
  <c r="G165" i="1"/>
  <c r="G160" i="1"/>
  <c r="G153" i="1"/>
  <c r="G142" i="1"/>
  <c r="G133" i="1"/>
  <c r="G280" i="1"/>
  <c r="G277" i="1"/>
  <c r="G274" i="1"/>
  <c r="G271" i="1"/>
  <c r="G246" i="1"/>
  <c r="G226" i="1"/>
  <c r="G219" i="1"/>
  <c r="G196" i="1"/>
  <c r="G187" i="1"/>
  <c r="G170" i="1"/>
  <c r="G157" i="1"/>
  <c r="G146" i="1"/>
  <c r="G126" i="1"/>
  <c r="G115" i="1"/>
  <c r="G265" i="1"/>
  <c r="G262" i="1"/>
  <c r="G248" i="1"/>
  <c r="G241" i="1"/>
  <c r="G221" i="1"/>
  <c r="G198" i="1"/>
  <c r="G185" i="1"/>
  <c r="G168" i="1"/>
  <c r="G150" i="1"/>
  <c r="G130" i="1"/>
  <c r="G119" i="1"/>
  <c r="G288" i="1"/>
  <c r="G285" i="1"/>
  <c r="G282" i="1"/>
  <c r="G243" i="1"/>
  <c r="G211" i="1"/>
  <c r="G207" i="1"/>
  <c r="G194" i="1"/>
  <c r="G180" i="1"/>
  <c r="G173" i="1"/>
  <c r="G163" i="1"/>
  <c r="G154" i="1"/>
  <c r="G143" i="1"/>
  <c r="G134" i="1"/>
  <c r="G276" i="1"/>
  <c r="G273" i="1"/>
  <c r="G238" i="1"/>
  <c r="G209" i="1"/>
  <c r="G190" i="1"/>
  <c r="G161" i="1"/>
  <c r="G158" i="1"/>
  <c r="G147" i="1"/>
  <c r="G127" i="1"/>
  <c r="G240" i="1"/>
  <c r="G233" i="1"/>
  <c r="G215" i="1"/>
  <c r="G205" i="1"/>
  <c r="G188" i="1"/>
  <c r="G183" i="1"/>
  <c r="G176" i="1"/>
  <c r="G171" i="1"/>
  <c r="G166" i="1"/>
  <c r="G151" i="1"/>
  <c r="G131" i="1"/>
  <c r="G287" i="1"/>
  <c r="G284" i="1"/>
  <c r="G235" i="1"/>
  <c r="G201" i="1"/>
  <c r="G199" i="1"/>
  <c r="G155" i="1"/>
  <c r="G144" i="1"/>
  <c r="G237" i="1"/>
  <c r="G230" i="1"/>
  <c r="G197" i="1"/>
  <c r="G186" i="1"/>
  <c r="G169" i="1"/>
  <c r="G148" i="1"/>
  <c r="G128" i="1"/>
  <c r="G258" i="1"/>
  <c r="G252" i="1"/>
  <c r="G232" i="1"/>
  <c r="G193" i="1"/>
  <c r="G174" i="1"/>
  <c r="G159" i="1"/>
  <c r="G152" i="1"/>
  <c r="G132" i="1"/>
  <c r="G124" i="1"/>
  <c r="G110" i="1"/>
  <c r="G83" i="1"/>
  <c r="G72" i="1"/>
  <c r="G61" i="1"/>
  <c r="G38" i="1"/>
  <c r="G27" i="1"/>
  <c r="G16" i="1"/>
  <c r="G70" i="1"/>
  <c r="G103" i="1"/>
  <c r="G87" i="1"/>
  <c r="G76" i="1"/>
  <c r="G65" i="1"/>
  <c r="G42" i="1"/>
  <c r="G31" i="1"/>
  <c r="G20" i="1"/>
  <c r="G107" i="1"/>
  <c r="G80" i="1"/>
  <c r="G69" i="1"/>
  <c r="G58" i="1"/>
  <c r="G46" i="1"/>
  <c r="G35" i="1"/>
  <c r="G24" i="1"/>
  <c r="G13" i="1"/>
  <c r="G117" i="1"/>
  <c r="G114" i="1"/>
  <c r="G100" i="1"/>
  <c r="G84" i="1"/>
  <c r="G73" i="1"/>
  <c r="G62" i="1"/>
  <c r="G39" i="1"/>
  <c r="G28" i="1"/>
  <c r="G17" i="1"/>
  <c r="G122" i="1"/>
  <c r="G111" i="1"/>
  <c r="G104" i="1"/>
  <c r="G88" i="1"/>
  <c r="G77" i="1"/>
  <c r="G66" i="1"/>
  <c r="G43" i="1"/>
  <c r="G32" i="1"/>
  <c r="G21" i="1"/>
  <c r="G125" i="1"/>
  <c r="G120" i="1"/>
  <c r="G108" i="1"/>
  <c r="G81" i="1"/>
  <c r="G59" i="1"/>
  <c r="G36" i="1"/>
  <c r="G101" i="1"/>
  <c r="G85" i="1"/>
  <c r="G74" i="1"/>
  <c r="G63" i="1"/>
  <c r="G123" i="1"/>
  <c r="G112" i="1"/>
  <c r="G105" i="1"/>
  <c r="G89" i="1"/>
  <c r="G118" i="1"/>
  <c r="G109" i="1"/>
  <c r="D17" i="1"/>
  <c r="G19" i="1"/>
  <c r="D39" i="1"/>
  <c r="E56" i="1"/>
  <c r="D59" i="1"/>
  <c r="G71" i="1"/>
  <c r="D78" i="1"/>
  <c r="B100" i="1"/>
  <c r="B104" i="1"/>
  <c r="G113" i="1"/>
  <c r="D123" i="1"/>
  <c r="E123" i="1"/>
  <c r="E109" i="1"/>
  <c r="B69" i="1"/>
  <c r="D85" i="1"/>
  <c r="D89" i="1"/>
  <c r="D13" i="1"/>
  <c r="G15" i="1"/>
  <c r="B20" i="1"/>
  <c r="B25" i="1"/>
  <c r="D32" i="1"/>
  <c r="D40" i="1"/>
  <c r="B43" i="1"/>
  <c r="E60" i="1"/>
  <c r="D63" i="1"/>
  <c r="D66" i="1"/>
  <c r="G75" i="1"/>
  <c r="G78" i="1"/>
  <c r="E85" i="1"/>
  <c r="E89" i="1"/>
  <c r="D101" i="1"/>
  <c r="D105" i="1"/>
  <c r="B46" i="1"/>
  <c r="G57" i="1"/>
  <c r="E63" i="1"/>
  <c r="B70" i="1"/>
  <c r="E82" i="1"/>
  <c r="E101" i="1"/>
  <c r="E105" i="1"/>
  <c r="B120" i="1"/>
  <c r="B27" i="1"/>
  <c r="G29" i="1"/>
  <c r="E32" i="1"/>
  <c r="B35" i="1"/>
  <c r="G37" i="1"/>
  <c r="E40" i="1"/>
  <c r="C282" i="1"/>
  <c r="C271" i="1"/>
  <c r="C260" i="1"/>
  <c r="C246" i="1"/>
  <c r="C235" i="1"/>
  <c r="C224" i="1"/>
  <c r="C208" i="1"/>
  <c r="C197" i="1"/>
  <c r="C285" i="1"/>
  <c r="C274" i="1"/>
  <c r="C263" i="1"/>
  <c r="C249" i="1"/>
  <c r="C238" i="1"/>
  <c r="C227" i="1"/>
  <c r="C212" i="1"/>
  <c r="C201" i="1"/>
  <c r="C190" i="1"/>
  <c r="C173" i="1"/>
  <c r="C162" i="1"/>
  <c r="C288" i="1"/>
  <c r="C277" i="1"/>
  <c r="C266" i="1"/>
  <c r="C252" i="1"/>
  <c r="C241" i="1"/>
  <c r="C230" i="1"/>
  <c r="C219" i="1"/>
  <c r="C291" i="1"/>
  <c r="C280" i="1"/>
  <c r="C269" i="1"/>
  <c r="C258" i="1"/>
  <c r="C244" i="1"/>
  <c r="C233" i="1"/>
  <c r="C222" i="1"/>
  <c r="C209" i="1"/>
  <c r="C198" i="1"/>
  <c r="C187" i="1"/>
  <c r="C170" i="1"/>
  <c r="C289" i="1"/>
  <c r="C278" i="1"/>
  <c r="C267" i="1"/>
  <c r="C253" i="1"/>
  <c r="C290" i="1"/>
  <c r="C287" i="1"/>
  <c r="C284" i="1"/>
  <c r="C281" i="1"/>
  <c r="C247" i="1"/>
  <c r="C240" i="1"/>
  <c r="C220" i="1"/>
  <c r="C215" i="1"/>
  <c r="C199" i="1"/>
  <c r="C176" i="1"/>
  <c r="C151" i="1"/>
  <c r="C275" i="1"/>
  <c r="C272" i="1"/>
  <c r="C242" i="1"/>
  <c r="C195" i="1"/>
  <c r="C181" i="1"/>
  <c r="C174" i="1"/>
  <c r="C164" i="1"/>
  <c r="C155" i="1"/>
  <c r="C144" i="1"/>
  <c r="C237" i="1"/>
  <c r="C210" i="1"/>
  <c r="C191" i="1"/>
  <c r="C186" i="1"/>
  <c r="C169" i="1"/>
  <c r="C159" i="1"/>
  <c r="C148" i="1"/>
  <c r="C286" i="1"/>
  <c r="C283" i="1"/>
  <c r="C239" i="1"/>
  <c r="C232" i="1"/>
  <c r="C206" i="1"/>
  <c r="C193" i="1"/>
  <c r="C184" i="1"/>
  <c r="C167" i="1"/>
  <c r="C152" i="1"/>
  <c r="C132" i="1"/>
  <c r="C121" i="1"/>
  <c r="C234" i="1"/>
  <c r="C214" i="1"/>
  <c r="C202" i="1"/>
  <c r="C189" i="1"/>
  <c r="C177" i="1"/>
  <c r="C172" i="1"/>
  <c r="C156" i="1"/>
  <c r="C145" i="1"/>
  <c r="C125" i="1"/>
  <c r="C257" i="1"/>
  <c r="C236" i="1"/>
  <c r="C229" i="1"/>
  <c r="C204" i="1"/>
  <c r="C149" i="1"/>
  <c r="C129" i="1"/>
  <c r="C251" i="1"/>
  <c r="C231" i="1"/>
  <c r="C200" i="1"/>
  <c r="C182" i="1"/>
  <c r="C175" i="1"/>
  <c r="C165" i="1"/>
  <c r="C160" i="1"/>
  <c r="C153" i="1"/>
  <c r="C142" i="1"/>
  <c r="C133" i="1"/>
  <c r="C268" i="1"/>
  <c r="C265" i="1"/>
  <c r="C262" i="1"/>
  <c r="C259" i="1"/>
  <c r="C226" i="1"/>
  <c r="C196" i="1"/>
  <c r="C194" i="1"/>
  <c r="C180" i="1"/>
  <c r="C163" i="1"/>
  <c r="C157" i="1"/>
  <c r="C146" i="1"/>
  <c r="C248" i="1"/>
  <c r="C228" i="1"/>
  <c r="C221" i="1"/>
  <c r="C213" i="1"/>
  <c r="C192" i="1"/>
  <c r="C185" i="1"/>
  <c r="C168" i="1"/>
  <c r="C150" i="1"/>
  <c r="C279" i="1"/>
  <c r="C276" i="1"/>
  <c r="C273" i="1"/>
  <c r="C270" i="1"/>
  <c r="C250" i="1"/>
  <c r="C243" i="1"/>
  <c r="C223" i="1"/>
  <c r="C211" i="1"/>
  <c r="C207" i="1"/>
  <c r="C205" i="1"/>
  <c r="C154" i="1"/>
  <c r="C143" i="1"/>
  <c r="C134" i="1"/>
  <c r="C264" i="1"/>
  <c r="C261" i="1"/>
  <c r="C245" i="1"/>
  <c r="C225" i="1"/>
  <c r="C203" i="1"/>
  <c r="C188" i="1"/>
  <c r="C183" i="1"/>
  <c r="C171" i="1"/>
  <c r="C166" i="1"/>
  <c r="C161" i="1"/>
  <c r="C158" i="1"/>
  <c r="C147" i="1"/>
  <c r="C123" i="1"/>
  <c r="C112" i="1"/>
  <c r="C105" i="1"/>
  <c r="C89" i="1"/>
  <c r="C78" i="1"/>
  <c r="C67" i="1"/>
  <c r="C56" i="1"/>
  <c r="C44" i="1"/>
  <c r="C33" i="1"/>
  <c r="C22" i="1"/>
  <c r="C76" i="1"/>
  <c r="C65" i="1"/>
  <c r="C126" i="1"/>
  <c r="C109" i="1"/>
  <c r="C82" i="1"/>
  <c r="C71" i="1"/>
  <c r="C60" i="1"/>
  <c r="C37" i="1"/>
  <c r="C26" i="1"/>
  <c r="C15" i="1"/>
  <c r="C102" i="1"/>
  <c r="C86" i="1"/>
  <c r="C75" i="1"/>
  <c r="C64" i="1"/>
  <c r="C41" i="1"/>
  <c r="C30" i="1"/>
  <c r="C19" i="1"/>
  <c r="C116" i="1"/>
  <c r="C113" i="1"/>
  <c r="C106" i="1"/>
  <c r="C90" i="1"/>
  <c r="C79" i="1"/>
  <c r="C68" i="1"/>
  <c r="C57" i="1"/>
  <c r="C45" i="1"/>
  <c r="C34" i="1"/>
  <c r="C23" i="1"/>
  <c r="C12" i="1"/>
  <c r="C128" i="1"/>
  <c r="C124" i="1"/>
  <c r="C119" i="1"/>
  <c r="C110" i="1"/>
  <c r="C83" i="1"/>
  <c r="C72" i="1"/>
  <c r="C61" i="1"/>
  <c r="C38" i="1"/>
  <c r="C27" i="1"/>
  <c r="C16" i="1"/>
  <c r="C131" i="1"/>
  <c r="C103" i="1"/>
  <c r="C87" i="1"/>
  <c r="C42" i="1"/>
  <c r="C31" i="1"/>
  <c r="C122" i="1"/>
  <c r="C114" i="1"/>
  <c r="C107" i="1"/>
  <c r="C80" i="1"/>
  <c r="C69" i="1"/>
  <c r="C58" i="1"/>
  <c r="C46" i="1"/>
  <c r="C130" i="1"/>
  <c r="C117" i="1"/>
  <c r="C111" i="1"/>
  <c r="C100" i="1"/>
  <c r="C84" i="1"/>
  <c r="C127" i="1"/>
  <c r="B14" i="1"/>
  <c r="E18" i="1"/>
  <c r="D25" i="1"/>
  <c r="C35" i="1"/>
  <c r="D43" i="1"/>
  <c r="G60" i="1"/>
  <c r="D67" i="1"/>
  <c r="C70" i="1"/>
  <c r="B73" i="1"/>
  <c r="G79" i="1"/>
  <c r="D115" i="1"/>
  <c r="C1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Eugenio Piliego</author>
    <author>Sebastian Zank</author>
  </authors>
  <commentList>
    <comment ref="N2" authorId="0" shapeId="0" xr:uid="{00000000-0006-0000-0000-000001000000}">
      <text>
        <r>
          <rPr>
            <sz val="11"/>
            <color theme="1"/>
            <rFont val="Inter"/>
            <family val="2"/>
            <scheme val="minor"/>
          </rPr>
          <t>Eugenio Piliego:
The two subsectors have different factors for market share and diversification</t>
        </r>
      </text>
    </comment>
    <comment ref="R2" authorId="1" shapeId="0" xr:uid="{00000000-0006-0000-0000-000002000000}">
      <text>
        <r>
          <rPr>
            <sz val="11"/>
            <color theme="1"/>
            <rFont val="Inter"/>
            <family val="2"/>
            <scheme val="minor"/>
          </rPr>
          <t>Sebastian Zank:
new granularity after the finalisation of the meth</t>
        </r>
      </text>
    </comment>
    <comment ref="U2" authorId="0" shapeId="0" xr:uid="{00000000-0006-0000-0000-000003000000}">
      <text>
        <r>
          <rPr>
            <sz val="11"/>
            <color theme="1"/>
            <rFont val="Inter"/>
            <family val="2"/>
            <scheme val="minor"/>
          </rPr>
          <t>Eugenio Piliego:
only specific factors considered</t>
        </r>
      </text>
    </comment>
    <comment ref="Y2" authorId="0" shapeId="0" xr:uid="{00000000-0006-0000-0000-000004000000}">
      <text>
        <r>
          <rPr>
            <sz val="11"/>
            <color theme="1"/>
            <rFont val="Inter"/>
            <family val="2"/>
            <scheme val="minor"/>
          </rPr>
          <t>Eugenio Piliego:
had to separate innovative pharma from generic as they have completely different matrixes</t>
        </r>
      </text>
    </comment>
    <comment ref="Y3" authorId="0" shapeId="0" xr:uid="{00000000-0006-0000-0000-000005000000}">
      <text>
        <r>
          <rPr>
            <sz val="11"/>
            <color theme="1"/>
            <rFont val="Inter"/>
            <family val="2"/>
            <scheme val="minor"/>
          </rPr>
          <t>Eugenio Piliego:
need to separate</t>
        </r>
      </text>
    </comment>
    <comment ref="W4" authorId="1" shapeId="0" xr:uid="{00000000-0006-0000-0000-000006000000}">
      <text>
        <r>
          <rPr>
            <sz val="11"/>
            <color theme="1"/>
            <rFont val="Inter"/>
            <family val="2"/>
            <scheme val="minor"/>
          </rPr>
          <t>Sebastian Zank:
new name after the finalisation of the meth
(Oil&amp;Gas: E&amp;P)</t>
        </r>
      </text>
    </comment>
    <comment ref="P5" authorId="0" shapeId="0" xr:uid="{00000000-0006-0000-0000-000007000000}">
      <text>
        <r>
          <rPr>
            <sz val="11"/>
            <color theme="1"/>
            <rFont val="Inter"/>
            <family val="2"/>
            <scheme val="minor"/>
          </rPr>
          <t>Eugenio Piliego:
replaced by non-discretionary</t>
        </r>
      </text>
    </comment>
    <comment ref="Y12" authorId="0" shapeId="0" xr:uid="{00000000-0006-0000-0000-000008000000}">
      <text>
        <r>
          <rPr>
            <sz val="11"/>
            <color theme="1"/>
            <rFont val="Inter"/>
            <family val="2"/>
            <scheme val="minor"/>
          </rPr>
          <t>Eugenio Piliego:
to check with author</t>
        </r>
      </text>
    </comment>
    <comment ref="Y19" authorId="0" shapeId="0" xr:uid="{00000000-0006-0000-0000-000009000000}">
      <text>
        <r>
          <rPr>
            <sz val="11"/>
            <color theme="1"/>
            <rFont val="Inter"/>
            <family val="2"/>
            <scheme val="minor"/>
          </rPr>
          <t>Eugenio Piliego:
to check with author</t>
        </r>
      </text>
    </comment>
    <comment ref="A142" authorId="0" shapeId="0" xr:uid="{00000000-0006-0000-0000-00000A000000}">
      <text>
        <r>
          <rPr>
            <sz val="11"/>
            <color theme="1"/>
            <rFont val="Inter"/>
            <family val="2"/>
            <scheme val="minor"/>
          </rPr>
          <t xml:space="preserve">Eugenio Piliego:
I inserted - please check if compliant
</t>
        </r>
      </text>
    </comment>
    <comment ref="A180" authorId="0" shapeId="0" xr:uid="{00000000-0006-0000-0000-00000B000000}">
      <text>
        <r>
          <rPr>
            <sz val="11"/>
            <color theme="1"/>
            <rFont val="Inter"/>
            <family val="2"/>
            <scheme val="minor"/>
          </rPr>
          <t xml:space="preserve">Eugenio Piliego:
I inserted - please check if compliant
</t>
        </r>
      </text>
    </comment>
    <comment ref="A218" authorId="0" shapeId="0" xr:uid="{00000000-0006-0000-0000-00000C000000}">
      <text>
        <r>
          <rPr>
            <sz val="11"/>
            <color theme="1"/>
            <rFont val="Inter"/>
            <family val="2"/>
            <scheme val="minor"/>
          </rPr>
          <t xml:space="preserve">Eugenio Piliego:
I inserted - please check if compliant
</t>
        </r>
      </text>
    </comment>
    <comment ref="A256" authorId="0" shapeId="0" xr:uid="{00000000-0006-0000-0000-00000D000000}">
      <text>
        <r>
          <rPr>
            <sz val="11"/>
            <color theme="1"/>
            <rFont val="Inter"/>
            <family val="2"/>
            <scheme val="minor"/>
          </rPr>
          <t xml:space="preserve">Eugenio Piliego:
I inserted - please check if compliant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Sebastian Zank</author>
  </authors>
  <commentList>
    <comment ref="C3" authorId="0" shapeId="0" xr:uid="{00000000-0006-0000-0300-000001000000}">
      <text>
        <r>
          <rPr>
            <sz val="11"/>
            <color theme="1"/>
            <rFont val="Inter"/>
            <family val="2"/>
            <scheme val="minor"/>
          </rPr>
          <t>Pls choose the core sector
Hints: 
Business Services run under Industrial Goods and Services
Investment Holdings run under Financial Services
Software and IT Services run under Technology</t>
        </r>
      </text>
    </comment>
    <comment ref="C13" authorId="0" shapeId="0" xr:uid="{00000000-0006-0000-0300-000002000000}">
      <text>
        <r>
          <rPr>
            <sz val="11"/>
            <color theme="1"/>
            <rFont val="Inter"/>
            <family val="2"/>
            <scheme val="minor"/>
          </rPr>
          <t>Country names are aligned to country names used by Scope's SPS team</t>
        </r>
      </text>
    </comment>
  </commentList>
</comments>
</file>

<file path=xl/sharedStrings.xml><?xml version="1.0" encoding="utf-8"?>
<sst xmlns="http://schemas.openxmlformats.org/spreadsheetml/2006/main" count="3389" uniqueCount="2365">
  <si>
    <t>RatingMethodology1</t>
  </si>
  <si>
    <t>RatingMethodology2</t>
  </si>
  <si>
    <t>RatingMethodology3</t>
  </si>
  <si>
    <t>RatingMethodology4</t>
  </si>
  <si>
    <t>RatingMethodology5</t>
  </si>
  <si>
    <t>RatingMethodology6</t>
  </si>
  <si>
    <t>Centralised Repository</t>
  </si>
  <si>
    <t>Philipp</t>
  </si>
  <si>
    <t>Eugenio</t>
  </si>
  <si>
    <t>ENDE</t>
  </si>
  <si>
    <t>Other</t>
  </si>
  <si>
    <t>RatingScaleList</t>
  </si>
  <si>
    <t>Category rating</t>
  </si>
  <si>
    <t>Rating methodology</t>
  </si>
  <si>
    <t>Automotive and Commercial Vehicle Manufacturers Rating Methodology</t>
  </si>
  <si>
    <t>Chemicals Rating Methodology</t>
  </si>
  <si>
    <t>Construction and Construction Materials Rating Methodology</t>
  </si>
  <si>
    <t>Consumer Products Rating Methodology</t>
  </si>
  <si>
    <t>European Automotive Suppliers Rating Methodology</t>
  </si>
  <si>
    <t>European Business and Consumer Services Rating Methodology</t>
  </si>
  <si>
    <t>European Real Estate Rating Methodology</t>
  </si>
  <si>
    <t>European Utilities Rating Methodology</t>
  </si>
  <si>
    <t>Investment Holding Companies Rating Methodology</t>
  </si>
  <si>
    <t>Metals and Mining Rating Methodology</t>
  </si>
  <si>
    <t>Oil and Gas Rating Methodology</t>
  </si>
  <si>
    <t>Pharmaceutical Companies’ Rating Methodology - Generic</t>
  </si>
  <si>
    <t>Pharmaceutical Companies’ Rating Methodology - Innovative</t>
  </si>
  <si>
    <t>Retail and Wholesale Rating Methodology</t>
  </si>
  <si>
    <t>Agribusiness</t>
  </si>
  <si>
    <t>AAA</t>
  </si>
  <si>
    <t>AA and above</t>
  </si>
  <si>
    <t>Chemicals: Commodity-focused chemical corporates</t>
  </si>
  <si>
    <t>Construction: Buildings and small civil engineering projects</t>
  </si>
  <si>
    <t>Consumer Products: Discretionary</t>
  </si>
  <si>
    <t>Real Estate: Commercial</t>
  </si>
  <si>
    <t>Utilities: Non-regulated power generation</t>
  </si>
  <si>
    <t>Oil&amp;Gas: Refining</t>
  </si>
  <si>
    <t>Healthcare: Generic pharmaceuticals</t>
  </si>
  <si>
    <t>Retail: Discretionary retail</t>
  </si>
  <si>
    <t>Capital Goods</t>
  </si>
  <si>
    <t>AA+</t>
  </si>
  <si>
    <t>Chemicals: Specialty chemical corporates</t>
  </si>
  <si>
    <t>Construction: Concessions</t>
  </si>
  <si>
    <t>Consumer Products: Non-Discretionary</t>
  </si>
  <si>
    <t>Real Estate: Commercial development</t>
  </si>
  <si>
    <t>Oil&amp;Gas: Upstream</t>
  </si>
  <si>
    <t>Healthcare: Healthcare Services</t>
  </si>
  <si>
    <t>Retail: Non-discretionary retail</t>
  </si>
  <si>
    <t>Leisure and Entertainment</t>
  </si>
  <si>
    <t>AA</t>
  </si>
  <si>
    <t>Construction: Construction materials</t>
  </si>
  <si>
    <t>Consumer Products: Non-durable consumer products</t>
  </si>
  <si>
    <t>Real Estate: Homebuilding</t>
  </si>
  <si>
    <t>Utilities: Quasi-regulated activities</t>
  </si>
  <si>
    <t>Healthcare: Innovative pharmaceuticals</t>
  </si>
  <si>
    <t>Media</t>
  </si>
  <si>
    <t>AA-</t>
  </si>
  <si>
    <t>Construction: Infrastructure and civil engineering</t>
  </si>
  <si>
    <t>Real Estate: Multifamily</t>
  </si>
  <si>
    <t>Utilities: Regulated network/grid operators</t>
  </si>
  <si>
    <t>Healthcare: Medical Devices</t>
  </si>
  <si>
    <t>Postal Services: Letter Mail</t>
  </si>
  <si>
    <t>A+</t>
  </si>
  <si>
    <t>A</t>
  </si>
  <si>
    <t>Utilities: Regulated power generation</t>
  </si>
  <si>
    <t>Postal Services: Parcels &amp; Express Logistics</t>
  </si>
  <si>
    <t>Utilities: Regulated water infrastructure</t>
  </si>
  <si>
    <t>Telecommunications</t>
  </si>
  <si>
    <t>A-</t>
  </si>
  <si>
    <t>Utilities: Trading activities (retail)</t>
  </si>
  <si>
    <t>Transportation: Airlines</t>
  </si>
  <si>
    <t>BBB+</t>
  </si>
  <si>
    <t>BBB</t>
  </si>
  <si>
    <t>Utilities: Trading activities (wholesale)</t>
  </si>
  <si>
    <t>Transportation: Airports</t>
  </si>
  <si>
    <t>[Market Share]</t>
  </si>
  <si>
    <t>Market share</t>
  </si>
  <si>
    <t>Transportation: Ferries</t>
  </si>
  <si>
    <t>BBB-</t>
  </si>
  <si>
    <t>Factor 1</t>
  </si>
  <si>
    <t xml:space="preserve">Two-year change in market share (percentage points) </t>
  </si>
  <si>
    <t>Market position</t>
  </si>
  <si>
    <t xml:space="preserve">Revenue (EUR bn) </t>
  </si>
  <si>
    <t>Market positioning</t>
  </si>
  <si>
    <t>Scope-adjusted EBITDA (EUR m)</t>
  </si>
  <si>
    <t>Market dominance</t>
  </si>
  <si>
    <t>Market value of assets (EUR m)</t>
  </si>
  <si>
    <t>Turnover (EUR)</t>
  </si>
  <si>
    <t>Market position over all main activities</t>
  </si>
  <si>
    <t xml:space="preserve">Market position (% of sales) </t>
  </si>
  <si>
    <t>Market size</t>
  </si>
  <si>
    <t>Market position: Home market has ‘High’ CRS</t>
  </si>
  <si>
    <t>Transportation: Rail</t>
  </si>
  <si>
    <t>BB+</t>
  </si>
  <si>
    <t>BB</t>
  </si>
  <si>
    <t>&gt; 1.5</t>
  </si>
  <si>
    <t xml:space="preserve">Commodity: Very strong market position and/or market share over all upstream and downstream activities / 
Specialty: Very strong market position and/or market share
</t>
  </si>
  <si>
    <t>&gt; 18.0</t>
  </si>
  <si>
    <t>Global market leader positions</t>
  </si>
  <si>
    <t>&gt; 8,000</t>
  </si>
  <si>
    <t xml:space="preserve">Dominant global position </t>
  </si>
  <si>
    <t>&gt; 20,000</t>
  </si>
  <si>
    <t>National or regional monopoly</t>
  </si>
  <si>
    <t>n/a</t>
  </si>
  <si>
    <t>Very strong</t>
  </si>
  <si>
    <t>Global structure (market share &gt;10% in large key markets; revenue growth significantly above market)</t>
  </si>
  <si>
    <t>Large (&gt; USD 40bn)</t>
  </si>
  <si>
    <t>Strong market shares globally</t>
  </si>
  <si>
    <t>Transportation: Road transportation and logistics</t>
  </si>
  <si>
    <t>1.5 to 0.75</t>
  </si>
  <si>
    <t xml:space="preserve">Commodity: Strong market position and/or market share over all upstream and downstream activities / 
Specialty: Very strong market position and/or market share
</t>
  </si>
  <si>
    <t>9.0 to 18.0</t>
  </si>
  <si>
    <t>High international market shares (top three) in all product categories</t>
  </si>
  <si>
    <t>1,000 to 8,000</t>
  </si>
  <si>
    <t xml:space="preserve">Dominant international position </t>
  </si>
  <si>
    <t>10,000 to 20,000</t>
  </si>
  <si>
    <t>Strong position in service territory with little competition from existing or new market participants</t>
  </si>
  <si>
    <t>&gt; 10bn</t>
  </si>
  <si>
    <t>Strong</t>
  </si>
  <si>
    <t>International, sizeable market share (&gt;20%) in home market; some specialty exposure; revenue growth slightly above market</t>
  </si>
  <si>
    <t>Medium (USD 20 to 40bn)</t>
  </si>
  <si>
    <t xml:space="preserve">Strong position  with significant market shares beyond home market </t>
  </si>
  <si>
    <t>BB-</t>
  </si>
  <si>
    <t>0.75 to 0</t>
  </si>
  <si>
    <t xml:space="preserve">Commodity: Good market position and/or market share over all upstream and downstream activities / 
Specialty: Good market position and/or market share
</t>
  </si>
  <si>
    <t>6.5 to 9.0</t>
  </si>
  <si>
    <t>Good international market shares (top 10) in most product categories</t>
  </si>
  <si>
    <t>600 to 1,000</t>
  </si>
  <si>
    <t xml:space="preserve">Good international position in most services categories (top-tier and mid-tier) </t>
  </si>
  <si>
    <t>2,000 to 10,000</t>
  </si>
  <si>
    <t>Good position in service territory with modest competition from existing or new market participants</t>
  </si>
  <si>
    <t>&gt; 1bn</t>
  </si>
  <si>
    <t>Good</t>
  </si>
  <si>
    <t>International, sizeable market share (10-20%) in home market; revenue growth in line with market</t>
  </si>
  <si>
    <t>Strong position</t>
  </si>
  <si>
    <t>B+</t>
  </si>
  <si>
    <t>B</t>
  </si>
  <si>
    <t>0 to -0.75</t>
  </si>
  <si>
    <t xml:space="preserve">Commodity: Moderate market position and/or market share over all upstream and downstream activities / 
Specialty: Moderate market position and/or market share
</t>
  </si>
  <si>
    <t>3.3 to 6.5</t>
  </si>
  <si>
    <t>High domestic market shares in most product categories</t>
  </si>
  <si>
    <t>150 to 600</t>
  </si>
  <si>
    <t xml:space="preserve">Moderate regional market shares; modest position in most service categories and/or high local market share </t>
  </si>
  <si>
    <t>500 to 2,000</t>
  </si>
  <si>
    <t>Modest position in service territory with significant competition from existing or new market participants</t>
  </si>
  <si>
    <t>&gt; 100m</t>
  </si>
  <si>
    <t>Moderate</t>
  </si>
  <si>
    <t>Main exposure to one country, sizeable market share (10-20%) in home market; revenue growth below market</t>
  </si>
  <si>
    <t>Medium position</t>
  </si>
  <si>
    <t>-0.75 to 1.5</t>
  </si>
  <si>
    <t xml:space="preserve">Commodity: Modest market position and/or market share over all upstream and downstream activities / 
Specialty: Modest market position and/or market share
</t>
  </si>
  <si>
    <t>0.1 to 3.3</t>
  </si>
  <si>
    <t>Low market shares in most product categories</t>
  </si>
  <si>
    <t>10 to 150</t>
  </si>
  <si>
    <t xml:space="preserve">Weak, mostly local position in most  service categories </t>
  </si>
  <si>
    <t>100 to 500</t>
  </si>
  <si>
    <t>Weak position in service territory with strong competition from existing or new market participants</t>
  </si>
  <si>
    <t>&lt; 100m</t>
  </si>
  <si>
    <t>Weak</t>
  </si>
  <si>
    <t>Smaller, regional exposure; no specialist position; revenue growth significantly below market</t>
  </si>
  <si>
    <t>Small (&lt; USD 20bn)</t>
  </si>
  <si>
    <t>Weak position</t>
  </si>
  <si>
    <t>B-</t>
  </si>
  <si>
    <t>CCC and below</t>
  </si>
  <si>
    <t>Decrease &gt; 1.5</t>
  </si>
  <si>
    <t xml:space="preserve">Commodity: Very modest market position and/or market share over all upstream and downstream activities / 
Specialty: Very modest market position and/or market share
</t>
  </si>
  <si>
    <t>&lt; 0.1</t>
  </si>
  <si>
    <t>Weak market shares in all product categories</t>
  </si>
  <si>
    <t>&lt; 10</t>
  </si>
  <si>
    <t>Very weak and deteriorating market share</t>
  </si>
  <si>
    <t>&lt; 100</t>
  </si>
  <si>
    <t>Very weak</t>
  </si>
  <si>
    <t>CCC</t>
  </si>
  <si>
    <t>Factor 2</t>
  </si>
  <si>
    <t>Brand positioning</t>
  </si>
  <si>
    <t>Revenue (EUR) - (Commodity-focused)</t>
  </si>
  <si>
    <t xml:space="preserve">Scope-adjusted EBITDA (EUR bn) </t>
  </si>
  <si>
    <t>Size and pricing power</t>
  </si>
  <si>
    <t>Gross lettable area (sq m)</t>
  </si>
  <si>
    <t>Recurring electricity generation volumes (TWh)</t>
  </si>
  <si>
    <t>Oil and gas production, '000 boe/d</t>
  </si>
  <si>
    <t>Market position: Home market has ‘High-medium’ or 'Medium-low' CRS</t>
  </si>
  <si>
    <t>CC</t>
  </si>
  <si>
    <t xml:space="preserve">Outstanding brand positioning across entire portfolio </t>
  </si>
  <si>
    <t>&gt; 30bn</t>
  </si>
  <si>
    <t>&gt; 7.2</t>
  </si>
  <si>
    <t>Very large comparative size (revenue over EUR 25bn), very strong purchasing/ bargaining power and price-setting ability</t>
  </si>
  <si>
    <t xml:space="preserve">Dominant position in core product group </t>
  </si>
  <si>
    <t>Revenues of over EUR 5bn; very strong bargaining power and price-setting ability</t>
  </si>
  <si>
    <t>&gt; 10m</t>
  </si>
  <si>
    <t>&gt; 200</t>
  </si>
  <si>
    <t>&gt; 1,000</t>
  </si>
  <si>
    <t>&gt; 20%</t>
  </si>
  <si>
    <t>C</t>
  </si>
  <si>
    <t>Strong positioning of (mainly premium) brands across entire portfolio</t>
  </si>
  <si>
    <t>1.8 to 7.2</t>
  </si>
  <si>
    <t>Large comparative size (revenue EUR 5bn-25bn), strong purchasing/ bargaining power and price-setting ability</t>
  </si>
  <si>
    <t xml:space="preserve">Revenues of EUR 2bn-5bn, strong bargaining power and price-setting ability </t>
  </si>
  <si>
    <t>5m to 10m</t>
  </si>
  <si>
    <t>100 to 200</t>
  </si>
  <si>
    <t>Top five global producer in chosen metals, market dominance</t>
  </si>
  <si>
    <t>500 to 1,000</t>
  </si>
  <si>
    <t>10 to 20%</t>
  </si>
  <si>
    <t>SD</t>
  </si>
  <si>
    <t>15 to 30bn</t>
  </si>
  <si>
    <t>1.0 to 1.8</t>
  </si>
  <si>
    <t>Medium-size company (revenue EUR 1bn-5bn), and/or good purchasing/ bargaining power</t>
  </si>
  <si>
    <t xml:space="preserve">Moderate position in core product group </t>
  </si>
  <si>
    <t xml:space="preserve">Revenues of EUR 1bn-2bn and/or good bargaining power </t>
  </si>
  <si>
    <t>1m to 5m</t>
  </si>
  <si>
    <t>10 to 100</t>
  </si>
  <si>
    <t>Top 20 global producer in chosen metals, or strong global niche market position or regional market dominance</t>
  </si>
  <si>
    <t xml:space="preserve">Strong position with significant market shares beyond home market </t>
  </si>
  <si>
    <t>D</t>
  </si>
  <si>
    <t xml:space="preserve">Average brand positioning across entire portfolio </t>
  </si>
  <si>
    <t>5 to 15bn</t>
  </si>
  <si>
    <t>0.25 to 1.0</t>
  </si>
  <si>
    <t>Below-average size (revenue EUR 250m-1bn), and/or adequate purchasing/bargaining power</t>
  </si>
  <si>
    <t>Modest position in core product group</t>
  </si>
  <si>
    <t xml:space="preserve">Revenues of EUR 250m-1bn and/or moderate bargaining power </t>
  </si>
  <si>
    <t>250,000 to 1m</t>
  </si>
  <si>
    <t>5 to 10</t>
  </si>
  <si>
    <t>Dominant local market position, or small player in global market</t>
  </si>
  <si>
    <t>50 to 100</t>
  </si>
  <si>
    <t>&lt; 10%</t>
  </si>
  <si>
    <t>&lt; 5bn</t>
  </si>
  <si>
    <t>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</si>
  <si>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</si>
  <si>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</si>
  <si>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</si>
  <si>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50,000 to 250,000</t>
  </si>
  <si>
    <t>&lt; 5</t>
  </si>
  <si>
    <t>Domestic/local player</t>
  </si>
  <si>
    <t>&lt; 50</t>
  </si>
  <si>
    <t xml:space="preserve">Weak brand positioning </t>
  </si>
  <si>
    <t>Negative</t>
  </si>
  <si>
    <t xml:space="preserve">Revenues of under EUR 50m, weak bargaining power and/or price follower </t>
  </si>
  <si>
    <t>&lt; 50,000</t>
  </si>
  <si>
    <t>&lt; 50 and rapidly declining production</t>
  </si>
  <si>
    <t>Factor 3</t>
  </si>
  <si>
    <t>R&amp;D activity - (Specialty)</t>
  </si>
  <si>
    <t>Scalability of services</t>
  </si>
  <si>
    <t>No. of apartments (residential)</t>
  </si>
  <si>
    <t>Position of power generation fleet in merit order system</t>
  </si>
  <si>
    <t>Product value-added</t>
  </si>
  <si>
    <t xml:space="preserve">Average reserve life, years </t>
  </si>
  <si>
    <t>Market position: Home market has ‘Low’ CRS</t>
  </si>
  <si>
    <t>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</si>
  <si>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</si>
  <si>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&gt; 300,000</t>
  </si>
  <si>
    <t>Very strong position</t>
  </si>
  <si>
    <t>&gt; 10</t>
  </si>
  <si>
    <t>Strong R&amp;D ratio and intellectual property 
portfolio</t>
  </si>
  <si>
    <t>150,000 to 300,000</t>
  </si>
  <si>
    <t>High share of specialised or high value-added alloyed or engineered products</t>
  </si>
  <si>
    <t>8 to 10</t>
  </si>
  <si>
    <t>Good R&amp;D ratio and intellectual property 
portfolio</t>
  </si>
  <si>
    <t xml:space="preserve">Highly scalable business across regions with moderate administrative entry barriers (digitalised services and/or mostly unspecialised workforce or operated by customer) </t>
  </si>
  <si>
    <t>30,000 to 150,000</t>
  </si>
  <si>
    <t>Good position</t>
  </si>
  <si>
    <t>6 to 8</t>
  </si>
  <si>
    <t>Moderate R&amp;D ratio and intellectual property 
portfolio</t>
  </si>
  <si>
    <t xml:space="preserve">Moderately scalable business across regions with some tenders/licences/a dministrative entry barriers (need for specialised workforce) </t>
  </si>
  <si>
    <t>7,500 to 30,000</t>
  </si>
  <si>
    <t>Modest position</t>
  </si>
  <si>
    <t>Basic commodity products or low value-added</t>
  </si>
  <si>
    <t>4 to 6</t>
  </si>
  <si>
    <t>Modest R&amp;D ratio and intellectual property 
portfolio</t>
  </si>
  <si>
    <t>Specialised/ customised businesses with local character and significant adjustments needed across regions to the service composition as well as limited scalability</t>
  </si>
  <si>
    <t>1,500 to 7,5000</t>
  </si>
  <si>
    <t>&lt; 4</t>
  </si>
  <si>
    <t>Very modest R&amp;D ratio and intellectual property 
portfolio</t>
  </si>
  <si>
    <t xml:space="preserve">High share of discontinued operations and/or not scalable service </t>
  </si>
  <si>
    <t>&lt; 1,500</t>
  </si>
  <si>
    <t>&lt; 4 and rapidly declining reserves</t>
  </si>
  <si>
    <t>Factor 4</t>
  </si>
  <si>
    <t>Maket share (%) in specific segments</t>
  </si>
  <si>
    <t>Structural aspects (growth prospects) of service territory</t>
  </si>
  <si>
    <t>Revenue stability and market access</t>
  </si>
  <si>
    <t>Refining capacity, '000 boe/d</t>
  </si>
  <si>
    <t>Sales (EUR bn)</t>
  </si>
  <si>
    <t>Dominant</t>
  </si>
  <si>
    <t>Very strong exposure to residential, commercial and industrial customers with largely hedged activities /
Economically growing service territory with many industrial and commercial customers and growing demographics</t>
  </si>
  <si>
    <t>&gt; 2,000</t>
  </si>
  <si>
    <t>&gt; 30</t>
  </si>
  <si>
    <t>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</si>
  <si>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1,000 to 2,000</t>
  </si>
  <si>
    <t>30 to 15</t>
  </si>
  <si>
    <t>Well-diversified base of residential, commercial and industrial customers with largely hedged activities / Economically stable service territory and stable demographic developments</t>
  </si>
  <si>
    <t>200 to 1,000</t>
  </si>
  <si>
    <t xml:space="preserve"> 15 to 7.5</t>
  </si>
  <si>
    <t>Modest</t>
  </si>
  <si>
    <t>Customer mix biased towards commercial and industrial customers with largely hedged activities / 
Economically modest service territory and slightly declining demographic developments</t>
  </si>
  <si>
    <t>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</si>
  <si>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7.5 to 1.5</t>
  </si>
  <si>
    <t>Very modest</t>
  </si>
  <si>
    <t>Strong exposure to industrial customers without major hedging activities / 
Economically weak service territory with few commercial and industrial customers and continuously shrinking demographic developments</t>
  </si>
  <si>
    <t>1.5 to 0.1</t>
  </si>
  <si>
    <t>Factor 5</t>
  </si>
  <si>
    <t>Regulatory, legal and political risk</t>
  </si>
  <si>
    <t>Neutral: assets mostly located in low-risk regions/countries (for example, the European Union, the United States, Canada or Australia)</t>
  </si>
  <si>
    <t>Negative: assets located in high-risk countries/regions</t>
  </si>
  <si>
    <t>MarketShareFactor1Industry1</t>
  </si>
  <si>
    <t>MarketShareFactor1Industry2</t>
  </si>
  <si>
    <t>MarketShareFactor1Industry3</t>
  </si>
  <si>
    <t>MarketShareFactor1Industry4</t>
  </si>
  <si>
    <t>MarketShareFactor1Industry5</t>
  </si>
  <si>
    <t>MarketShareFactor1Industry6</t>
  </si>
  <si>
    <t>MarketShareFactor2Industry1</t>
  </si>
  <si>
    <t>MarketShareFactor2Industry2</t>
  </si>
  <si>
    <t>MarketShareFactor2Industry3</t>
  </si>
  <si>
    <t>MarketShareFactor2Industry4</t>
  </si>
  <si>
    <t>MarketShareFactor2Industry5</t>
  </si>
  <si>
    <t>MarketShareFactor2Industry6</t>
  </si>
  <si>
    <t>MarketShareFactor3Industry1</t>
  </si>
  <si>
    <t>MarketShareFactor3Industry2</t>
  </si>
  <si>
    <t>MarketShareFactor3Industry3</t>
  </si>
  <si>
    <t>MarketShareFactor3Industry4</t>
  </si>
  <si>
    <t>MarketShareFactor3Industry5</t>
  </si>
  <si>
    <t>MarketShareFactor3Industry6</t>
  </si>
  <si>
    <t>MarketShareFactor4Industry1</t>
  </si>
  <si>
    <t>MarketShareFactor4Industry2</t>
  </si>
  <si>
    <t>MarketShareFactor4Industry3</t>
  </si>
  <si>
    <t>MarketShareFactor4Industry4</t>
  </si>
  <si>
    <t>MarketShareFactor4Industry5</t>
  </si>
  <si>
    <t>MarketShareFactor4Industry6</t>
  </si>
  <si>
    <t>MarketShareFactor5Industry1</t>
  </si>
  <si>
    <t>MarketShareFactor5Industry2</t>
  </si>
  <si>
    <t>MarketShareFactor5Industry3</t>
  </si>
  <si>
    <t>MarketShareFactor5Industry4</t>
  </si>
  <si>
    <t>MarketShareFactor5Industry5</t>
  </si>
  <si>
    <t>MarketShareFactor5Industry6</t>
  </si>
  <si>
    <t>[Diversification]</t>
  </si>
  <si>
    <t>Diversification</t>
  </si>
  <si>
    <t xml:space="preserve">Geographical  </t>
  </si>
  <si>
    <t>Portfolio diversification - (Commodity-focused)</t>
  </si>
  <si>
    <t>Geographical diversification</t>
  </si>
  <si>
    <t>Geographical</t>
  </si>
  <si>
    <t xml:space="preserve">Geographical outreach </t>
  </si>
  <si>
    <t>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</si>
  <si>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</si>
  <si>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</si>
  <si>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</si>
  <si>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</si>
  <si>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</si>
  <si>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</si>
  <si>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Very strong geographical diversification across pan-European energy markets with little price correlation</t>
  </si>
  <si>
    <t>Global presence</t>
  </si>
  <si>
    <t>Reflects the global market</t>
  </si>
  <si>
    <t xml:space="preserve">Hybrid model with high percentage of sales generated via each channel </t>
  </si>
  <si>
    <t>Strong presence in at least three key markets</t>
  </si>
  <si>
    <t>Strong international presence; major player in different continents</t>
  </si>
  <si>
    <t>Strong geographical diversification across pan-European energy markets with little price correlation</t>
  </si>
  <si>
    <t>No single country accounting for more than one-third of earnings</t>
  </si>
  <si>
    <t>Significant presence in different regions</t>
  </si>
  <si>
    <t>Under-represented in the US or in Europe</t>
  </si>
  <si>
    <t xml:space="preserve">Solid presence in at least two key markets </t>
  </si>
  <si>
    <t xml:space="preserve">Global but unbalanced presence </t>
  </si>
  <si>
    <t>Adequate international presence; operating in many countries, regions and locations</t>
  </si>
  <si>
    <t>International presence; operating in many countries</t>
  </si>
  <si>
    <t xml:space="preserve">More than three regions; (inter)national presence </t>
  </si>
  <si>
    <t>Geographical diversification across different regional energy markets with little price correlation</t>
  </si>
  <si>
    <t>No single country accounting for more than half of earnings</t>
  </si>
  <si>
    <t>Significant presence in multiple countries</t>
  </si>
  <si>
    <t>No truly global exposure</t>
  </si>
  <si>
    <t xml:space="preserve">High sales via other distribution channels in addition to primary distribution channel </t>
  </si>
  <si>
    <t xml:space="preserve">Presence in at least one key market </t>
  </si>
  <si>
    <t>Overreliance on one region</t>
  </si>
  <si>
    <t>Moderate diversification by country, region and location</t>
  </si>
  <si>
    <t xml:space="preserve">Niche player with a (strong) presence in selected markets </t>
  </si>
  <si>
    <t xml:space="preserve">Limited diversification by countries </t>
  </si>
  <si>
    <t xml:space="preserve">More than one region; national presence </t>
  </si>
  <si>
    <t>Geographical diversification across different regional energy markets with significant price correlation</t>
  </si>
  <si>
    <t>Operations in more than one country, but high dependency on a single jurisdiction</t>
  </si>
  <si>
    <t>Operations concentrated in few countries</t>
  </si>
  <si>
    <t>Regional player; majority of sales in countries with weak patent protection</t>
  </si>
  <si>
    <t xml:space="preserve">Low sales via other distribution channels in addition to primary distribution channel </t>
  </si>
  <si>
    <t xml:space="preserve">Presence in one key market </t>
  </si>
  <si>
    <t>Operates in one region</t>
  </si>
  <si>
    <t xml:space="preserve">Low diversification by country, region and location </t>
  </si>
  <si>
    <t xml:space="preserve">Only national presence with low growth opportunities </t>
  </si>
  <si>
    <t xml:space="preserve">One region; national presence </t>
  </si>
  <si>
    <t>No geographical diversification across different energy markets with little price correlation</t>
  </si>
  <si>
    <t>Single country operator</t>
  </si>
  <si>
    <t>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</si>
  <si>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</si>
  <si>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</si>
  <si>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</si>
  <si>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</si>
  <si>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</si>
  <si>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Purely local player in a shrinking market</t>
  </si>
  <si>
    <t>Product Breadth</t>
  </si>
  <si>
    <t>Contribution of specialty chemicals to revenue - (Commodity-focused)</t>
  </si>
  <si>
    <t>Segment diversification</t>
  </si>
  <si>
    <t>Supplier and customer</t>
  </si>
  <si>
    <t>Product</t>
  </si>
  <si>
    <t>Customer granularity and supplier diversification</t>
  </si>
  <si>
    <t>Top 3 tenants (%)</t>
  </si>
  <si>
    <t>Horizontal diversification</t>
  </si>
  <si>
    <t>Product offering and end-markets</t>
  </si>
  <si>
    <t>Exposure to high-risk countries</t>
  </si>
  <si>
    <t>Product mix – treatment area exposure</t>
  </si>
  <si>
    <t>Top three products (% of pharma sales)</t>
  </si>
  <si>
    <t>Portfolio covering a majority of passenger car categories</t>
  </si>
  <si>
    <t>No segment with &gt; 30% of revenue/EBITDA</t>
  </si>
  <si>
    <t>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</si>
  <si>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</si>
  <si>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</si>
  <si>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&lt; 2.5</t>
  </si>
  <si>
    <t>Very strong business segmentation across a well-balanced mix of cyclical and non_x0002_cyclical activities with little or no exposure to chronically loss_x0002_making or very volatile utility segments</t>
  </si>
  <si>
    <t>Very low</t>
  </si>
  <si>
    <t>&gt; 8</t>
  </si>
  <si>
    <t>&lt; 20%</t>
  </si>
  <si>
    <t xml:space="preserve">No country with &gt; 30% of revenue </t>
  </si>
  <si>
    <t xml:space="preserve">No segment with &gt; 40% of revenue/EBITDA </t>
  </si>
  <si>
    <t xml:space="preserve">Variety of product groups combined with wide range of products </t>
  </si>
  <si>
    <t>Strong business segmentation across a well-balanced mix of cyclical and non cyclical activities with little or no exposure to chronically loss_x0002_making or very volatile utility segments</t>
  </si>
  <si>
    <t>Highly diversified product slate. No single metal or mineral accounts for more than one-third of earnings. High end-market diversity</t>
  </si>
  <si>
    <t>Low</t>
  </si>
  <si>
    <t>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</si>
  <si>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</si>
  <si>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</si>
  <si>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</si>
  <si>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Adequately diversified regarding number of customers and suppliers</t>
  </si>
  <si>
    <t xml:space="preserve">Variety of product groups combined with narrow range of products </t>
  </si>
  <si>
    <t xml:space="preserve">Good diversification regarding customers and suppliers4 </t>
  </si>
  <si>
    <t>&lt; 5.0</t>
  </si>
  <si>
    <t>Moderate business segmentation across different utilities segments with little exposure to chronically loss_x0002_making or very volatile utility segments</t>
  </si>
  <si>
    <t>Producer of several metals or minerals with different end-markets. No single metal accounts for more than half of earnings</t>
  </si>
  <si>
    <t>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</si>
  <si>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</si>
  <si>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</si>
  <si>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</si>
  <si>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</si>
  <si>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</si>
  <si>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Some dependence on certain customers and/or suppliers</t>
  </si>
  <si>
    <t>&lt; 10.0</t>
  </si>
  <si>
    <t>Modest business segmentation across different utilities segments with significant exposure to chronically loss_x0002_making or very volatile utility segments</t>
  </si>
  <si>
    <t>Producer of at least two metals or minerals with different end-markets</t>
  </si>
  <si>
    <t>2 to 4</t>
  </si>
  <si>
    <t>50 to 60%</t>
  </si>
  <si>
    <t xml:space="preserve">Operates in one country and its immediate neighbours </t>
  </si>
  <si>
    <t xml:space="preserve">Exposure to one segment and a few vehicle categories </t>
  </si>
  <si>
    <t>&gt; 70% of revenues/EBITDA from one segment</t>
  </si>
  <si>
    <t>Heavy dependence on single customer and/or supplier</t>
  </si>
  <si>
    <t xml:space="preserve">Single product group combined with narrow range of products </t>
  </si>
  <si>
    <t xml:space="preserve">Heavy dependence on single customer and/or supplier </t>
  </si>
  <si>
    <t>&lt; 20.0</t>
  </si>
  <si>
    <t>High exposure to chronically loss_x0002_making business segments</t>
  </si>
  <si>
    <t xml:space="preserve">Single metal/mineral producer or refiner </t>
  </si>
  <si>
    <t>High</t>
  </si>
  <si>
    <t>0 to 2</t>
  </si>
  <si>
    <t>&gt; 60%</t>
  </si>
  <si>
    <t xml:space="preserve">Active in one country </t>
  </si>
  <si>
    <t xml:space="preserve">&gt; 90% of revenues/EBITDA from one segment </t>
  </si>
  <si>
    <t xml:space="preserve">Loss of or high probability of losing main customer/ supplier </t>
  </si>
  <si>
    <t>&gt; 20.0</t>
  </si>
  <si>
    <t>Dominant exposure to a single high-risk country</t>
  </si>
  <si>
    <t>Product Depth</t>
  </si>
  <si>
    <t>End-market diversification - (Specialty)</t>
  </si>
  <si>
    <t xml:space="preserve">Customer diversification Top 10 (%) </t>
  </si>
  <si>
    <t>Product offering and mix</t>
  </si>
  <si>
    <t>Customer (top three in % of sales revenue)</t>
  </si>
  <si>
    <t xml:space="preserve">Service offering and crossselling potential </t>
  </si>
  <si>
    <t>Top 10 tenants (%)</t>
  </si>
  <si>
    <t>Vertical integration</t>
  </si>
  <si>
    <t>Assets</t>
  </si>
  <si>
    <t>Business mix</t>
  </si>
  <si>
    <t>Specialty drug exposure (incl biosimilars, % of 
sales)</t>
  </si>
  <si>
    <t>Top product (% of pharma sales)</t>
  </si>
  <si>
    <t>Product diversification</t>
  </si>
  <si>
    <t xml:space="preserve">Very comprehensive product offering </t>
  </si>
  <si>
    <t>Very strong diversification, improved/ stable end-market diversification</t>
  </si>
  <si>
    <t>Presence in numerous product categories (above 10);  high share of non-cyclical products</t>
  </si>
  <si>
    <t xml:space="preserve">Highly diversified service offering, large share of non-discretionary services and high cross-selling potential </t>
  </si>
  <si>
    <t>Reasonable vertical integration with sizeable customer base</t>
  </si>
  <si>
    <t>Very strong/balanced mix</t>
  </si>
  <si>
    <t>Large range of products sold across more than two consumer goods categories</t>
  </si>
  <si>
    <t xml:space="preserve">Products targeting a combination of premium, mid-price and entry level groups </t>
  </si>
  <si>
    <t>Strong diversification, improved/ stable end-market diversification</t>
  </si>
  <si>
    <t>No single mine or processing plant accounts for more than one-third of earnings</t>
  </si>
  <si>
    <t>Strong/largely balanced mix</t>
  </si>
  <si>
    <t>10 to 15%</t>
  </si>
  <si>
    <t>Good diversification, improved/ stable end-market diversification</t>
  </si>
  <si>
    <t>10 to 20</t>
  </si>
  <si>
    <t xml:space="preserve">Balanced presence in several product categories; predominance of non-cyclical products </t>
  </si>
  <si>
    <t>10 to 30</t>
  </si>
  <si>
    <t xml:space="preserve">Diversified service offering of nondiscretionary and discretionary services and high cross-selling potential </t>
  </si>
  <si>
    <t>No single mine or processing plant accounts for more than half of earnings</t>
  </si>
  <si>
    <t xml:space="preserve">Good/significant bias to the main segment </t>
  </si>
  <si>
    <t>5 to 10%</t>
  </si>
  <si>
    <t>15 to 30%</t>
  </si>
  <si>
    <t xml:space="preserve">Products sold across two consumer goods categories </t>
  </si>
  <si>
    <t xml:space="preserve">Products targeting mostly premium, mid-price and entry level groups </t>
  </si>
  <si>
    <t>Moderate diversification, stable/ worse end-market diversification</t>
  </si>
  <si>
    <t>20 to 50</t>
  </si>
  <si>
    <t>Presence in few product categories; predominance  of cyclical products</t>
  </si>
  <si>
    <t>30 to 50</t>
  </si>
  <si>
    <t xml:space="preserve">Less diversified service offering with predominately discretionary services and moderate crossselling potential </t>
  </si>
  <si>
    <t>&lt; 50.0</t>
  </si>
  <si>
    <t>No vertical integration with concentration on higher-risk non-regulated activities</t>
  </si>
  <si>
    <t>Multiple mines or processing plants, but with high dependency on a few assets</t>
  </si>
  <si>
    <t xml:space="preserve">Moderate/strong bias to the main segment </t>
  </si>
  <si>
    <t>0 to 5%</t>
  </si>
  <si>
    <t>30 to 40%</t>
  </si>
  <si>
    <t>Modest diversification, worse end-market diversification</t>
  </si>
  <si>
    <t>50 to 90</t>
  </si>
  <si>
    <t>Concentration in one product category</t>
  </si>
  <si>
    <t>50 to 75</t>
  </si>
  <si>
    <t>Highly concentrated service offering, primarily based on a single discretionary service and limited cross-selling potential</t>
  </si>
  <si>
    <t>&lt; 100.0</t>
  </si>
  <si>
    <t>Single mine or processing plant operator</t>
  </si>
  <si>
    <t>Weak/single or very dominant segment</t>
  </si>
  <si>
    <t>&gt; 40%</t>
  </si>
  <si>
    <t>Products sold belong to one consumer goods category deemed non-cyclical</t>
  </si>
  <si>
    <t>Very narrow product offering</t>
  </si>
  <si>
    <t>Very modest diversification, worse end-market diversification</t>
  </si>
  <si>
    <t>&gt; 90</t>
  </si>
  <si>
    <t>Single cyclical product category</t>
  </si>
  <si>
    <t>&gt; 75</t>
  </si>
  <si>
    <t>&lt; 10 tenants</t>
  </si>
  <si>
    <t xml:space="preserve">Products sold belong to one consumer goods category deemed cyclical </t>
  </si>
  <si>
    <t>Highly cyclical end-markets - (Specialty)</t>
  </si>
  <si>
    <t>Distribution network</t>
  </si>
  <si>
    <t>Quality of tenants</t>
  </si>
  <si>
    <t>Supplier and customer concentration</t>
  </si>
  <si>
    <t>Asset concentration/ dependence on a single asset</t>
  </si>
  <si>
    <t>Number of pipeline assets</t>
  </si>
  <si>
    <t>Number of treatment  areas</t>
  </si>
  <si>
    <t>Broadly diversified regarding number of well-established distribution channels</t>
  </si>
  <si>
    <t xml:space="preserve">Multiple well-established and robust distribution channels </t>
  </si>
  <si>
    <t>Very strongly diversified supplier and customer base</t>
  </si>
  <si>
    <t>&gt; 500</t>
  </si>
  <si>
    <t>&gt; 5</t>
  </si>
  <si>
    <t>Strongly diversified supplier and customer base</t>
  </si>
  <si>
    <t>350 to 500</t>
  </si>
  <si>
    <t>4 to 5</t>
  </si>
  <si>
    <t>20 to 40%</t>
  </si>
  <si>
    <t>Adequately diversified regarding number of well-established distribution channels</t>
  </si>
  <si>
    <t>Multiple distribution channels including thirdparty sales</t>
  </si>
  <si>
    <t>Modest dependence on single suppliers or customers</t>
  </si>
  <si>
    <t>200 to 350</t>
  </si>
  <si>
    <t>3 to 4</t>
  </si>
  <si>
    <t>40 to 70%</t>
  </si>
  <si>
    <t>Concentration on few distribution channels</t>
  </si>
  <si>
    <t>Concentrated distribution channels with low third-party sales</t>
  </si>
  <si>
    <t>Moderate dependence on single suppliers or customers</t>
  </si>
  <si>
    <t>2 to 3</t>
  </si>
  <si>
    <t>&gt; 70%</t>
  </si>
  <si>
    <t>Heavy dependency on a single distribution channel</t>
  </si>
  <si>
    <t xml:space="preserve">Single distribution channel6 </t>
  </si>
  <si>
    <t>High dependence on single suppliers or customers</t>
  </si>
  <si>
    <t>&lt; 2</t>
  </si>
  <si>
    <t>Dominant exposure to a single asset</t>
  </si>
  <si>
    <t>Tenants by industry (% of revenues)</t>
  </si>
  <si>
    <t>Asset/fuel concentration</t>
  </si>
  <si>
    <t>&lt; 15</t>
  </si>
  <si>
    <t>Very low dependency on specific fuel types or single assets</t>
  </si>
  <si>
    <t>Low dependency on specific fuel types or single assets</t>
  </si>
  <si>
    <t>&lt; 20</t>
  </si>
  <si>
    <t>Modest dependency on specific fuel types or single power plants</t>
  </si>
  <si>
    <t>&lt; 25</t>
  </si>
  <si>
    <t>Moderate concentration risks relating to specific fuel types and power generation assets</t>
  </si>
  <si>
    <t>High concentration risks relating to specific fuel types and power generation assets</t>
  </si>
  <si>
    <t>&gt; 50</t>
  </si>
  <si>
    <t>DiversificationFactor1Industry1</t>
  </si>
  <si>
    <t>DiversificationFactor1Industry2</t>
  </si>
  <si>
    <t>DiversificationFactor1Industry3</t>
  </si>
  <si>
    <t>DiversificationFactor1Industry4</t>
  </si>
  <si>
    <t>DiversificationFactor1Industry5</t>
  </si>
  <si>
    <t>DiversificationFactor1Industry6</t>
  </si>
  <si>
    <t>DiversificationFactor2Industry1</t>
  </si>
  <si>
    <t>DiversificationFactor2Industry2</t>
  </si>
  <si>
    <t>DiversificationFactor2Industry3</t>
  </si>
  <si>
    <t>DiversificationFactor2Industry4</t>
  </si>
  <si>
    <t>DiversificationFactor2Industry5</t>
  </si>
  <si>
    <t>DiversificationFactor2Industry6</t>
  </si>
  <si>
    <t>DiversificationFactor3Industry1</t>
  </si>
  <si>
    <t>DiversificationFactor3Industry2</t>
  </si>
  <si>
    <t>DiversificationFactor3Industry3</t>
  </si>
  <si>
    <t>DiversificationFactor3Industry4</t>
  </si>
  <si>
    <t>DiversificationFactor3Industry5</t>
  </si>
  <si>
    <t>DiversificationFactor3Industry6</t>
  </si>
  <si>
    <t>DiversificationFactor4Industry1</t>
  </si>
  <si>
    <t>DiversificationFactor4Industry2</t>
  </si>
  <si>
    <t>DiversificationFactor4Industry3</t>
  </si>
  <si>
    <t>DiversificationFactor4Industry4</t>
  </si>
  <si>
    <t>DiversificationFactor4Industry5</t>
  </si>
  <si>
    <t>DiversificationFactor4Industry6</t>
  </si>
  <si>
    <t>DiversificationFactor5Industry1</t>
  </si>
  <si>
    <t>DiversificationFactor5Industry2</t>
  </si>
  <si>
    <t>DiversificationFactor5Industry3</t>
  </si>
  <si>
    <t>DiversificationFactor5Industry4</t>
  </si>
  <si>
    <t>DiversificationFactor5Industry5</t>
  </si>
  <si>
    <t>DiversificationFactor5Industry6</t>
  </si>
  <si>
    <t>[Operating profitability]</t>
  </si>
  <si>
    <t>Scope-adjusted EBITDA margin (%)</t>
  </si>
  <si>
    <t>Scope-adjusted EBITDA margin</t>
  </si>
  <si>
    <t>EBITDA margin</t>
  </si>
  <si>
    <t>Volatility</t>
  </si>
  <si>
    <t>Scope-adjusted EBITDA margin Upstream/ midstream exposure</t>
  </si>
  <si>
    <t xml:space="preserve">EBITDA margin upstream (excluding trading) </t>
  </si>
  <si>
    <t>EBITDA margin (%)</t>
  </si>
  <si>
    <t>&gt; 16</t>
  </si>
  <si>
    <t>&gt; 30%</t>
  </si>
  <si>
    <t>&gt; 40</t>
  </si>
  <si>
    <t>&gt;30%</t>
  </si>
  <si>
    <t>&gt; 22</t>
  </si>
  <si>
    <t>&gt; 25%</t>
  </si>
  <si>
    <t>&gt; 35%</t>
  </si>
  <si>
    <t>12 to 16</t>
  </si>
  <si>
    <t>20 to 40</t>
  </si>
  <si>
    <t>20%-30%</t>
  </si>
  <si>
    <t>16 to 22</t>
  </si>
  <si>
    <t>22.5 to 30.0</t>
  </si>
  <si>
    <t>40 to 60%</t>
  </si>
  <si>
    <t>Mining &gt; 35%; Smelting and refining &gt;15%; Processing &gt; 10%; Distribution &gt;4%</t>
  </si>
  <si>
    <t>45 to 60%</t>
  </si>
  <si>
    <t>20 to 25%</t>
  </si>
  <si>
    <t>30 to 35%</t>
  </si>
  <si>
    <t>8 to 12</t>
  </si>
  <si>
    <t>15 to 20%</t>
  </si>
  <si>
    <t>14 to 20</t>
  </si>
  <si>
    <t>15%-20%</t>
  </si>
  <si>
    <t>15.0 to 22.5</t>
  </si>
  <si>
    <t>Medium</t>
  </si>
  <si>
    <t>25 to 40%</t>
  </si>
  <si>
    <t>Mining 25 to 35%; Smelting and refining 10 to 15%; Processing 7 to 10%; Distribution 3 to 4%</t>
  </si>
  <si>
    <t>30 to 45%</t>
  </si>
  <si>
    <t>25 to 30%</t>
  </si>
  <si>
    <t>5 to 8</t>
  </si>
  <si>
    <t>7 to 14</t>
  </si>
  <si>
    <t>5%-15%</t>
  </si>
  <si>
    <t>9 to 12</t>
  </si>
  <si>
    <t>7.5 to 15.0</t>
  </si>
  <si>
    <t>10 to 25%</t>
  </si>
  <si>
    <t>Mining 15 to 25%; Smelting and refining 6 to 10%; Processing 4 to 7%; Distribution 2 to 3%</t>
  </si>
  <si>
    <t>2 to 5</t>
  </si>
  <si>
    <t>0 to 7</t>
  </si>
  <si>
    <t>0%-5%</t>
  </si>
  <si>
    <t>2 to 8</t>
  </si>
  <si>
    <t>0 to 7.5</t>
  </si>
  <si>
    <t>Mining &lt; 15%; Smelting and refining &lt; 6%; Processing &lt; 4%; Distribution &lt; 2%</t>
  </si>
  <si>
    <t>1 to 4</t>
  </si>
  <si>
    <t>Scope-adjusted EBITDA insufficient to cover maintenance capex and interest expense</t>
  </si>
  <si>
    <t>Recurring EBITDA insufficient to cover maintenance capex and interest payments</t>
  </si>
  <si>
    <t>EBITDA insufficient to cover interest payments and maintenance capex</t>
  </si>
  <si>
    <t>&lt; 5%</t>
  </si>
  <si>
    <t>&lt; 1</t>
  </si>
  <si>
    <t>Backlog (years)</t>
  </si>
  <si>
    <t>Scope-adjusted return on capital epmloyed (%)</t>
  </si>
  <si>
    <t>Scope-adjusted EBITDA margin Downstream exposure</t>
  </si>
  <si>
    <t>EBITDA volatility</t>
  </si>
  <si>
    <t xml:space="preserve">EBITDA margin downstream (excluding trading) </t>
  </si>
  <si>
    <t>Scope-adjusted EBITDA return on assets</t>
  </si>
  <si>
    <t>Low to medium</t>
  </si>
  <si>
    <t>&gt; 24%</t>
  </si>
  <si>
    <t>&gt; 15%</t>
  </si>
  <si>
    <t>&gt; 45</t>
  </si>
  <si>
    <t>30 to 40</t>
  </si>
  <si>
    <t>75 to 90</t>
  </si>
  <si>
    <t>18 to 24%</t>
  </si>
  <si>
    <t>Below average</t>
  </si>
  <si>
    <t>35 to 45</t>
  </si>
  <si>
    <t>20 to 30</t>
  </si>
  <si>
    <t>60 to 75</t>
  </si>
  <si>
    <t>12 to 18%</t>
  </si>
  <si>
    <t>7 to 10%</t>
  </si>
  <si>
    <t>25 to 35</t>
  </si>
  <si>
    <t>Medium to high</t>
  </si>
  <si>
    <t>45 to 60</t>
  </si>
  <si>
    <t>6 to 12%</t>
  </si>
  <si>
    <t>Above average</t>
  </si>
  <si>
    <t>4 to 7%</t>
  </si>
  <si>
    <t>15 to 25</t>
  </si>
  <si>
    <t>1 to 2</t>
  </si>
  <si>
    <t>0 to 10</t>
  </si>
  <si>
    <t>30 to 45</t>
  </si>
  <si>
    <t>&lt; 6%</t>
  </si>
  <si>
    <t>&lt; 4%</t>
  </si>
  <si>
    <t>5 to 15</t>
  </si>
  <si>
    <t>&lt; 0</t>
  </si>
  <si>
    <t>&lt; 30</t>
  </si>
  <si>
    <t>Top 5%</t>
  </si>
  <si>
    <t>Levered IRR</t>
  </si>
  <si>
    <t>Volatility of group margin</t>
  </si>
  <si>
    <t>ROCE</t>
  </si>
  <si>
    <t>Scope-adjusted return on capital employed</t>
  </si>
  <si>
    <t>Very stable profitability patterns</t>
  </si>
  <si>
    <t>36 to 50</t>
  </si>
  <si>
    <t>&gt; 9%</t>
  </si>
  <si>
    <t>23 to 36</t>
  </si>
  <si>
    <t>Stable profitability patterns</t>
  </si>
  <si>
    <t>6 to 9%</t>
  </si>
  <si>
    <t>6 to 10%</t>
  </si>
  <si>
    <t>9 to 22</t>
  </si>
  <si>
    <t>Moderately volatile and non_x0002_controllable profitability patterns</t>
  </si>
  <si>
    <t>3 to 6%</t>
  </si>
  <si>
    <t>0 to 9</t>
  </si>
  <si>
    <t>Strongly volatile and non-controllable profitability patterns</t>
  </si>
  <si>
    <t>0 to 3%</t>
  </si>
  <si>
    <t>&lt;0%</t>
  </si>
  <si>
    <t>&lt; 0%</t>
  </si>
  <si>
    <t>Operating efficiency</t>
  </si>
  <si>
    <t>Neutral: modern plant and equipment, power stations, transportation infrastructure, etc; high standards in terms of efficiency, environmental footprint and health and safety; tried and tested mining 
and processing methods</t>
  </si>
  <si>
    <t>Negative: aged plant and equipment, power stations, transportation infrastructure, etc., which require significant investment to maintain adequate standards in terms of efficiency, environmental footprint and health and safety</t>
  </si>
  <si>
    <t>Very negative: plant and equipment at the end of their economic life</t>
  </si>
  <si>
    <t>Efficiency</t>
  </si>
  <si>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</si>
  <si>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</si>
  <si>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OperatingProfitabilityFactor1Industry1</t>
  </si>
  <si>
    <t>OperatingProfitabilityFactor1Industry2</t>
  </si>
  <si>
    <t>OperatingProfitabilityFactor1Industry3</t>
  </si>
  <si>
    <t>OperatingProfitabilityFactor1Industry4</t>
  </si>
  <si>
    <t>OperatingProfitabilityFactor1Industry5</t>
  </si>
  <si>
    <t>OperatingProfitabilityFactor1Industry6</t>
  </si>
  <si>
    <t>OperatingProfitabilityFactor2Industry1</t>
  </si>
  <si>
    <t>OperatingProfitabilityFactor2Industry2</t>
  </si>
  <si>
    <t>OperatingProfitabilityFactor2Industry3</t>
  </si>
  <si>
    <t>OperatingProfitabilityFactor2Industry4</t>
  </si>
  <si>
    <t>OperatingProfitabilityFactor2Industry5</t>
  </si>
  <si>
    <t>OperatingProfitabilityFactor2Industry6</t>
  </si>
  <si>
    <t>OperatingProfitabilityFactor3Industry1</t>
  </si>
  <si>
    <t>OperatingProfitabilityFactor3Industry2</t>
  </si>
  <si>
    <t>OperatingProfitabilityFactor3Industry3</t>
  </si>
  <si>
    <t>OperatingProfitabilityFactor3Industry4</t>
  </si>
  <si>
    <t>OperatingProfitabilityFactor3Industry5</t>
  </si>
  <si>
    <t>OperatingProfitabilityFactor3Industry6</t>
  </si>
  <si>
    <t>OperatingProfitabilityFactor4Industry1</t>
  </si>
  <si>
    <t>OperatingProfitabilityFactor4Industry2</t>
  </si>
  <si>
    <t>OperatingProfitabilityFactor4Industry3</t>
  </si>
  <si>
    <t>OperatingProfitabilityFactor4Industry4</t>
  </si>
  <si>
    <t>OperatingProfitabilityFactor4Industry5</t>
  </si>
  <si>
    <t>OperatingProfitabilityFactor4Industry6</t>
  </si>
  <si>
    <t>OperatingProfitabilityFactor5Industry1</t>
  </si>
  <si>
    <t>OperatingProfitabilityFactor5Industry2</t>
  </si>
  <si>
    <t>OperatingProfitabilityFactor5Industry3</t>
  </si>
  <si>
    <t>OperatingProfitabilityFactor5Industry4</t>
  </si>
  <si>
    <t>OperatingProfitabilityFactor5Industry5</t>
  </si>
  <si>
    <t>OperatingProfitabilityFactor5Industry6</t>
  </si>
  <si>
    <t>[Sector-specific factor 1]</t>
  </si>
  <si>
    <t>Brand strenght</t>
  </si>
  <si>
    <t>Innovativeness</t>
  </si>
  <si>
    <t>Service strength</t>
  </si>
  <si>
    <t>Asset quality</t>
  </si>
  <si>
    <t>Portfolio sustainability</t>
  </si>
  <si>
    <t>Cost and reserve position</t>
  </si>
  <si>
    <t>R&amp;D / Pipeline assessment</t>
  </si>
  <si>
    <t>Brand Value and Recognition</t>
  </si>
  <si>
    <t>Innovative power</t>
  </si>
  <si>
    <t xml:space="preserve">Brand strength and service quality </t>
  </si>
  <si>
    <t>Property location</t>
  </si>
  <si>
    <t>Number of Income-generating core holdings</t>
  </si>
  <si>
    <t>Position in cost curve</t>
  </si>
  <si>
    <t>R&amp;D to sales</t>
  </si>
  <si>
    <t xml:space="preserve">Portfolio of several globally well-known brands with a long tradition </t>
  </si>
  <si>
    <t>Very strong track record</t>
  </si>
  <si>
    <t xml:space="preserve">Globally/internationally well-known brand with high-quality attributes and sustainability of services </t>
  </si>
  <si>
    <t xml:space="preserve">Mainly 'A' locations </t>
  </si>
  <si>
    <t>&gt; 7</t>
  </si>
  <si>
    <t>Global brand and/or portfolio of international and long-established brands</t>
  </si>
  <si>
    <t>Strong track record</t>
  </si>
  <si>
    <t>First quartile</t>
  </si>
  <si>
    <t xml:space="preserve">International well-established brands </t>
  </si>
  <si>
    <t>Good track record</t>
  </si>
  <si>
    <t xml:space="preserve">Internationally/ regionally wellknown brand with good quality attributes and sustainability of services </t>
  </si>
  <si>
    <t xml:space="preserve">'A' locations and 'B' locations </t>
  </si>
  <si>
    <t>Second quartile</t>
  </si>
  <si>
    <t xml:space="preserve">Domestically well-known brands or still developing international brands  </t>
  </si>
  <si>
    <t>Moderate track record</t>
  </si>
  <si>
    <t xml:space="preserve">Domestic/ regionally known brand with moderate quality attributes and sustainability of services </t>
  </si>
  <si>
    <t xml:space="preserve">Mainly 'B' locations </t>
  </si>
  <si>
    <t>Upper third quartile</t>
  </si>
  <si>
    <t xml:space="preserve">Domestically known/regionally well-known brands </t>
  </si>
  <si>
    <t>Waek track record</t>
  </si>
  <si>
    <t xml:space="preserve">Low brand strength with basic service quality attributes and low sustainability of services </t>
  </si>
  <si>
    <t xml:space="preserve">'B' and 'C' locations </t>
  </si>
  <si>
    <t>Lower third or upper fourth quartile</t>
  </si>
  <si>
    <t>Domestically less-known brands (incl. third party producers)</t>
  </si>
  <si>
    <t>Very weak track record</t>
  </si>
  <si>
    <t>Negative brand perception or reputational issues</t>
  </si>
  <si>
    <t xml:space="preserve">Mainly 'C' locations </t>
  </si>
  <si>
    <t>Lower fourth quartile</t>
  </si>
  <si>
    <t>Brand Positioning</t>
  </si>
  <si>
    <t xml:space="preserve">Revenue stability and predictability </t>
  </si>
  <si>
    <t xml:space="preserve">Economic age (years) </t>
  </si>
  <si>
    <t>Income generating portfolio (% of GAV)</t>
  </si>
  <si>
    <t>Reserve life</t>
  </si>
  <si>
    <t>Number of NMEs phase 3</t>
  </si>
  <si>
    <t>Luxury brands;  scarce or hardly replaceable products</t>
  </si>
  <si>
    <t>Low customer churn rate with high share of recurring revenues and multiyear contract length with high switching costs</t>
  </si>
  <si>
    <t>&gt; 90%</t>
  </si>
  <si>
    <t>&gt; 14</t>
  </si>
  <si>
    <t xml:space="preserve">Premium segment, reflecting generally very high-quality attributes </t>
  </si>
  <si>
    <t>&lt; 6</t>
  </si>
  <si>
    <t>&gt; 20 years</t>
  </si>
  <si>
    <t>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</si>
  <si>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</si>
  <si>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</si>
  <si>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60 to 90%</t>
  </si>
  <si>
    <t>10 to 20 years</t>
  </si>
  <si>
    <t>6 to 9</t>
  </si>
  <si>
    <t>Mid-to-low end price levels, reflecting average quality attributes</t>
  </si>
  <si>
    <t>High churn rate with moderate recurring revenues and monthly subscription fee and usually cancellable contract with low switching cost</t>
  </si>
  <si>
    <t>10 to 15</t>
  </si>
  <si>
    <t>30 to 60%</t>
  </si>
  <si>
    <t>5 to 10 years</t>
  </si>
  <si>
    <t>3 to 5</t>
  </si>
  <si>
    <t xml:space="preserve">Low-end price level, generally linked to low quality attributes or easily replaceable products </t>
  </si>
  <si>
    <t xml:space="preserve">High churn rate with very low or no recurring revenues and no minimum subscription fee and no switching costs </t>
  </si>
  <si>
    <t>&lt; 30%</t>
  </si>
  <si>
    <t>2 to 5 years</t>
  </si>
  <si>
    <t xml:space="preserve">&lt;3 </t>
  </si>
  <si>
    <t>&gt; 25</t>
  </si>
  <si>
    <t>&lt; 2 years and low replacement ratio</t>
  </si>
  <si>
    <t>Sustainable growth</t>
  </si>
  <si>
    <t xml:space="preserve">Service integration </t>
  </si>
  <si>
    <t>Occupancy or  pre-letting rate (%)</t>
  </si>
  <si>
    <t>Income concentration - top core holding (%)</t>
  </si>
  <si>
    <t>Reserve quality</t>
  </si>
  <si>
    <t>100% patent expiry next 3 years</t>
  </si>
  <si>
    <t xml:space="preserve">Growth above reference market; high investments into brand/product  </t>
  </si>
  <si>
    <t>Critical business processes covered, mostly exclusively, with very high integration with the customer’s business</t>
  </si>
  <si>
    <t>&gt; 95</t>
  </si>
  <si>
    <t>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</si>
  <si>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</si>
  <si>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High integration in the customer’s business with several services, mostly on an exclusive basis</t>
  </si>
  <si>
    <t>90 to 95</t>
  </si>
  <si>
    <t xml:space="preserve">Growth aligned or slightly below reference market; moderate investments in brand/product </t>
  </si>
  <si>
    <t>Medium integration in the customer’s business with several services, mostly not on an exclusive basis</t>
  </si>
  <si>
    <t>80 to 90</t>
  </si>
  <si>
    <t>Mines are mostly deep underground and reserves are complex, not well understood and/or may require change in mining method and/or processing plant and equipment over time. Reserves are largely undeveloped.</t>
  </si>
  <si>
    <t>Growth below reference market, limited investments in brand/product</t>
  </si>
  <si>
    <t xml:space="preserve">Low or no integration in the customer’s business; rather commoditised service </t>
  </si>
  <si>
    <t>70 to 80</t>
  </si>
  <si>
    <t>&gt; 50%</t>
  </si>
  <si>
    <t>Heavily declining revenue trend; no investment in brand and/or negative public recognition</t>
  </si>
  <si>
    <t xml:space="preserve">Decreasing service level; commoditised service </t>
  </si>
  <si>
    <t>&lt; 70</t>
  </si>
  <si>
    <t>Very high cost and complex reserves</t>
  </si>
  <si>
    <t xml:space="preserve">WAULT (years) </t>
  </si>
  <si>
    <t>Income concentration - top three core holdings (%)</t>
  </si>
  <si>
    <t>Raw material supply</t>
  </si>
  <si>
    <t>Net effect of new product potential and patent expiry in percent of pharma sales</t>
  </si>
  <si>
    <t>&gt; 10.0</t>
  </si>
  <si>
    <t>&gt; 100%</t>
  </si>
  <si>
    <t>7.0 to 10.0</t>
  </si>
  <si>
    <t>Reliable and readily available feedstocks and other raw materials, including electricity, water, and chemicals. No over_x0002_dependency on any one supplier / 
Fully integrated from mining to refining and processing. Captive power supplies</t>
  </si>
  <si>
    <t>5.8 to 7.0</t>
  </si>
  <si>
    <t>50 to 70%</t>
  </si>
  <si>
    <t>Reliable and readily available feedstocks and other raw materials, including electricity, water, and chemicals. No over_x0002_dependency on any one supplier / 
Significant backward integration</t>
  </si>
  <si>
    <t>90 to 100%</t>
  </si>
  <si>
    <t>4.6 to 5.8</t>
  </si>
  <si>
    <t>70 to 90%</t>
  </si>
  <si>
    <t>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</si>
  <si>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&lt; 4.6</t>
  </si>
  <si>
    <t>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</si>
  <si>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&lt; 70%</t>
  </si>
  <si>
    <t>Very high risk of disruption to critical feedstocks</t>
  </si>
  <si>
    <t xml:space="preserve">Pre-sale rate (%) </t>
  </si>
  <si>
    <t>&gt; 110</t>
  </si>
  <si>
    <t>100 to 110</t>
  </si>
  <si>
    <t>80 to 100</t>
  </si>
  <si>
    <t>&lt; 80</t>
  </si>
  <si>
    <t>[Sector-specific factor 2]</t>
  </si>
  <si>
    <t>Portfolio diversification</t>
  </si>
  <si>
    <t>Blockbusters</t>
  </si>
  <si>
    <t>Reflects global market</t>
  </si>
  <si>
    <t>&gt; 4</t>
  </si>
  <si>
    <t>More than one region</t>
  </si>
  <si>
    <t xml:space="preserve">One region </t>
  </si>
  <si>
    <t>One country</t>
  </si>
  <si>
    <t>Sector concentration (% of GAV)</t>
  </si>
  <si>
    <t>20 to 50%</t>
  </si>
  <si>
    <t>50 to 80%</t>
  </si>
  <si>
    <t>&gt; 80%</t>
  </si>
  <si>
    <t>GAV concentration - Top core holding (%)</t>
  </si>
  <si>
    <t>GAV concentration - Top three core holdings (%)</t>
  </si>
  <si>
    <t>20 to 35%</t>
  </si>
  <si>
    <t>35 to 50%</t>
  </si>
  <si>
    <t>Sector-specific factor 3</t>
  </si>
  <si>
    <t>Portfolio liquidity</t>
  </si>
  <si>
    <t>Listed portfolio (% of GAV)</t>
  </si>
  <si>
    <t>Ability to divest</t>
  </si>
  <si>
    <t>Unrestricted</t>
  </si>
  <si>
    <t>Limited</t>
  </si>
  <si>
    <t>Sector-specific factor 4</t>
  </si>
  <si>
    <t>Investment philosophy</t>
  </si>
  <si>
    <t>Portfolio value development</t>
  </si>
  <si>
    <t>Limited track record</t>
  </si>
  <si>
    <t>Investment policy</t>
  </si>
  <si>
    <t>Long-term investment horizon and/or defined exit strategy</t>
  </si>
  <si>
    <t>Medium investment horizon with defined portfolio rebalancing targets</t>
  </si>
  <si>
    <t>MethodologyList</t>
  </si>
  <si>
    <t>SectorList</t>
  </si>
  <si>
    <t>SectorRiskScoreList</t>
  </si>
  <si>
    <t>NotchingList</t>
  </si>
  <si>
    <t>OutlookList</t>
  </si>
  <si>
    <t>ShortTermRatingsList</t>
  </si>
  <si>
    <t>ShortTermDebtRatingCriteriaList</t>
  </si>
  <si>
    <t>RecoveryExpectationsList</t>
  </si>
  <si>
    <t>AccountingPrinciplesList</t>
  </si>
  <si>
    <t>MonthList</t>
  </si>
  <si>
    <t>DayList</t>
  </si>
  <si>
    <t>CountryList</t>
  </si>
  <si>
    <t>CurrencyList</t>
  </si>
  <si>
    <t>ReportingUnitList</t>
  </si>
  <si>
    <t>YearList</t>
  </si>
  <si>
    <t>FrequencyList</t>
  </si>
  <si>
    <t>StatusList</t>
  </si>
  <si>
    <t>ScopeMetricsList</t>
  </si>
  <si>
    <t>ScopeadjustedEBITDAList</t>
  </si>
  <si>
    <t>ScopeadjustedFFOList</t>
  </si>
  <si>
    <t>FreeoperatingcashflowList</t>
  </si>
  <si>
    <t>ScopeadjusteddebtList</t>
  </si>
  <si>
    <t>ScopeadjustedinterestsList</t>
  </si>
  <si>
    <t>LiquidityList</t>
  </si>
  <si>
    <t>DiscretionaryCashFlowList</t>
  </si>
  <si>
    <t>LTVList</t>
  </si>
  <si>
    <t>ROCEMissing</t>
  </si>
  <si>
    <t>ROAMissing</t>
  </si>
  <si>
    <t>HeadingsList</t>
  </si>
  <si>
    <t>TotalArrayList</t>
  </si>
  <si>
    <t>TotalArray2List</t>
  </si>
  <si>
    <t>MASTERAddressList</t>
  </si>
  <si>
    <t>MASTERRangeNameList</t>
  </si>
  <si>
    <t>MASTERValidationList</t>
  </si>
  <si>
    <t>MASTERHeaderList</t>
  </si>
  <si>
    <t>MASTERFirstColumnNameList</t>
  </si>
  <si>
    <t>MASTERFirstColumnAddressList</t>
  </si>
  <si>
    <t>RatedEntityList</t>
  </si>
  <si>
    <t>IssuerIdList</t>
  </si>
  <si>
    <t>CorporateSectorList</t>
  </si>
  <si>
    <t>EV Multiples (BRP)</t>
  </si>
  <si>
    <t>EV Multiple</t>
  </si>
  <si>
    <t>Override (Yes(No)</t>
  </si>
  <si>
    <t>IndustryWeightList</t>
  </si>
  <si>
    <t>SegmentationCriteriaList</t>
  </si>
  <si>
    <t>General Corporate Rating Methodology</t>
  </si>
  <si>
    <t>+4 notches</t>
  </si>
  <si>
    <t>Positive</t>
  </si>
  <si>
    <t>S-1+</t>
  </si>
  <si>
    <t>Better than adequate</t>
  </si>
  <si>
    <t>Excellent (90-100%)</t>
  </si>
  <si>
    <t>IFRS</t>
  </si>
  <si>
    <t>December</t>
  </si>
  <si>
    <t>Czech Republic</t>
  </si>
  <si>
    <t>EUR</t>
  </si>
  <si>
    <t>Thousands</t>
  </si>
  <si>
    <t>Y</t>
  </si>
  <si>
    <t>Actual</t>
  </si>
  <si>
    <t>Scope-adjusted EBITDA interest cover</t>
  </si>
  <si>
    <t>EBITDA</t>
  </si>
  <si>
    <t>Scope-adjusted EBITDA</t>
  </si>
  <si>
    <t>Scope-adjusted FFO</t>
  </si>
  <si>
    <t>Reported gross debt</t>
  </si>
  <si>
    <t>Interest paid</t>
  </si>
  <si>
    <t>Cash and marketable securities equivalents (t-1)</t>
  </si>
  <si>
    <t>Free Operating Cash Flow</t>
  </si>
  <si>
    <t>Total Assets</t>
  </si>
  <si>
    <t>EBIT</t>
  </si>
  <si>
    <t>PPE</t>
  </si>
  <si>
    <t>[Scope Credit Metrics]</t>
  </si>
  <si>
    <t>[Scope Credit Metrics]_[Scope Credit Metrics]</t>
  </si>
  <si>
    <t>FRP_ScopeMetrics_ScopeMetricsTest</t>
  </si>
  <si>
    <t>$D$14</t>
  </si>
  <si>
    <t>AccountingPrinciples</t>
  </si>
  <si>
    <t>"=AccountingPrinciplesList"</t>
  </si>
  <si>
    <t>Accounting Principles</t>
  </si>
  <si>
    <t>Accounting principles</t>
  </si>
  <si>
    <t>$C$14</t>
  </si>
  <si>
    <t xml:space="preserve"> Duna Aszfalt Zrt.</t>
  </si>
  <si>
    <t>Automobiles &amp; Parts</t>
  </si>
  <si>
    <t>Yes</t>
  </si>
  <si>
    <t>Revenue contribution</t>
  </si>
  <si>
    <t>Automotive and Commercial Vehicle Manufacturers</t>
  </si>
  <si>
    <t>+3 notches</t>
  </si>
  <si>
    <t>Under review for possible upgrade</t>
  </si>
  <si>
    <t>S-1</t>
  </si>
  <si>
    <t>Adequate</t>
  </si>
  <si>
    <t>Superior (70-90%)</t>
  </si>
  <si>
    <t>US-GAAP</t>
  </si>
  <si>
    <t>January</t>
  </si>
  <si>
    <t>Federal Republic of Germany</t>
  </si>
  <si>
    <t>HUF</t>
  </si>
  <si>
    <t>Millions</t>
  </si>
  <si>
    <t>Q1</t>
  </si>
  <si>
    <t>Estimate</t>
  </si>
  <si>
    <t>Scope-adjusted debt/EBITDA</t>
  </si>
  <si>
    <t>Operating lease payment in respective year</t>
  </si>
  <si>
    <t>less: Scope-adjusted interest</t>
  </si>
  <si>
    <t>Working capital changes</t>
  </si>
  <si>
    <t>Cash and cash equivalents</t>
  </si>
  <si>
    <t>Interest received</t>
  </si>
  <si>
    <t>Restricted cash (t-1)</t>
  </si>
  <si>
    <t>Dividends</t>
  </si>
  <si>
    <t>less: Cash &amp; Equivalents</t>
  </si>
  <si>
    <t>Right of use asset</t>
  </si>
  <si>
    <t>[Scope-adjusted EBITDA]</t>
  </si>
  <si>
    <t>[Scope Credit Metrics]_SaD/EBITDA (x)</t>
  </si>
  <si>
    <t>FRP_ScopeMetrics_SAD_To_EBITDA</t>
  </si>
  <si>
    <t>$D$24</t>
  </si>
  <si>
    <t>AddFactors</t>
  </si>
  <si>
    <t>"=RatingScaleList"</t>
  </si>
  <si>
    <t>Additionl Factors</t>
  </si>
  <si>
    <t>Sector/company-specific factors (1)</t>
  </si>
  <si>
    <t>$C$24</t>
  </si>
  <si>
    <t xml:space="preserve"> HRWorks GmbH</t>
  </si>
  <si>
    <t>Basic Materials</t>
  </si>
  <si>
    <t>No</t>
  </si>
  <si>
    <t>EBITDA contribution</t>
  </si>
  <si>
    <t>Automotive Suppliers</t>
  </si>
  <si>
    <t>+2 notches</t>
  </si>
  <si>
    <t>Stable</t>
  </si>
  <si>
    <t>S-2</t>
  </si>
  <si>
    <t>Worse than adequate</t>
  </si>
  <si>
    <t>Above average (50-70%)</t>
  </si>
  <si>
    <t>Local GAAP</t>
  </si>
  <si>
    <t>February</t>
  </si>
  <si>
    <t>Federal Republic of Nigeria</t>
  </si>
  <si>
    <t>USD</t>
  </si>
  <si>
    <t>Billions</t>
  </si>
  <si>
    <t>Q2</t>
  </si>
  <si>
    <t>Scope-adjusted FFO/debt</t>
  </si>
  <si>
    <t>Disposal gains fixed assets</t>
  </si>
  <si>
    <t>less: cash tax paid as per cashflow statement</t>
  </si>
  <si>
    <t>Non-Operating cash flow</t>
  </si>
  <si>
    <t>Restricted cash</t>
  </si>
  <si>
    <t>Interest expense pensions</t>
  </si>
  <si>
    <t>Free operating cash flow (t)</t>
  </si>
  <si>
    <t>Discretionary Cash Flow</t>
  </si>
  <si>
    <t>Fair value of derivatives</t>
  </si>
  <si>
    <t>Current Assets</t>
  </si>
  <si>
    <t>Inventory</t>
  </si>
  <si>
    <t>[Scope-adjusted FFO]</t>
  </si>
  <si>
    <t>[Scope Credit Metrics]_FFO/SaD (%)</t>
  </si>
  <si>
    <t>FRP_ScopeMetrics_FFO_To_SaD</t>
  </si>
  <si>
    <t>$D$25</t>
  </si>
  <si>
    <t>Sector/company-specific factors (2)</t>
  </si>
  <si>
    <t>$C$25</t>
  </si>
  <si>
    <t>2I RETE GAS SPA</t>
  </si>
  <si>
    <t>Chemicals</t>
  </si>
  <si>
    <t>Government Related Entities Rating Methodology</t>
  </si>
  <si>
    <t>Business and Consumer Services: asset-light, unspecialised workforce</t>
  </si>
  <si>
    <t>+1 notch</t>
  </si>
  <si>
    <t>Under review for possible downgrade</t>
  </si>
  <si>
    <t>S-3</t>
  </si>
  <si>
    <t>Average (30-50%)</t>
  </si>
  <si>
    <t>March</t>
  </si>
  <si>
    <t>French Republic</t>
  </si>
  <si>
    <t>AMD</t>
  </si>
  <si>
    <t>Q3</t>
  </si>
  <si>
    <t>Scope-adjusted loan/value</t>
  </si>
  <si>
    <t>Special Items</t>
  </si>
  <si>
    <t>add: depreciation component op leases</t>
  </si>
  <si>
    <t>Capex (net)</t>
  </si>
  <si>
    <t>Pension adjustment</t>
  </si>
  <si>
    <t>Interest component operating leases</t>
  </si>
  <si>
    <t>Committed unused bank facilities (t-1)</t>
  </si>
  <si>
    <t>Difference of fair value of properties or other holdings compared to book value</t>
  </si>
  <si>
    <t>Investments in JV,associates and Securities</t>
  </si>
  <si>
    <t>S.A. EBITDA</t>
  </si>
  <si>
    <t>[Free operating cash flow]</t>
  </si>
  <si>
    <t>[Scope Credit Metrics]_FOCF/SaD (%)</t>
  </si>
  <si>
    <t>FRP_ScopeMetrics_FOCF_To_SaD</t>
  </si>
  <si>
    <t>$D$18</t>
  </si>
  <si>
    <t>BRP</t>
  </si>
  <si>
    <t>Business Risk Profile_Score</t>
  </si>
  <si>
    <t>Business risk profile</t>
  </si>
  <si>
    <t>$C$18</t>
  </si>
  <si>
    <t>4iG Nyilvánosan Működő Részvénytársaság</t>
  </si>
  <si>
    <t>Construction &amp; Materials</t>
  </si>
  <si>
    <t>Business and Consumer Services: asset-light, specialised workforce</t>
  </si>
  <si>
    <t>± 0 notches</t>
  </si>
  <si>
    <t>S-4</t>
  </si>
  <si>
    <t>Low (10-30%)</t>
  </si>
  <si>
    <t>April</t>
  </si>
  <si>
    <t>Grand Duchy of Luxemburg</t>
  </si>
  <si>
    <t>AED</t>
  </si>
  <si>
    <t>Q4</t>
  </si>
  <si>
    <t>Scope-adjusted FOCF/debt</t>
  </si>
  <si>
    <t>add: dividends received from @equity</t>
  </si>
  <si>
    <t>Amortization of leases</t>
  </si>
  <si>
    <t>Leasing adjustment</t>
  </si>
  <si>
    <t>Interest subordinated (hybrid) debt</t>
  </si>
  <si>
    <t>Committed unused factoring facilities (t-1)</t>
  </si>
  <si>
    <t>Total LTV</t>
  </si>
  <si>
    <t>[Scope-adjusted debt (SaD)]</t>
  </si>
  <si>
    <t>[Scope Credit Metrics]_EBITDA interest cover (x)</t>
  </si>
  <si>
    <t>FRP_ScopeMetrics_EBITDA_INTEREST_COVER</t>
  </si>
  <si>
    <t>$D$30</t>
  </si>
  <si>
    <t>CashflowGeneration</t>
  </si>
  <si>
    <t>Cash flow Generation_Score</t>
  </si>
  <si>
    <t>Cash flow cover</t>
  </si>
  <si>
    <t>$C$30</t>
  </si>
  <si>
    <t>Å ENERGI AS</t>
  </si>
  <si>
    <t>Financial Services</t>
  </si>
  <si>
    <t>Business and Consumer Services: asset-heavy, unspecialised workforce</t>
  </si>
  <si>
    <t>-1 notch</t>
  </si>
  <si>
    <t>Under review for a developing outcome</t>
  </si>
  <si>
    <t>Very low (0-10%)</t>
  </si>
  <si>
    <t>May</t>
  </si>
  <si>
    <t>Hellenic Republic</t>
  </si>
  <si>
    <t>AZN</t>
  </si>
  <si>
    <t>H1</t>
  </si>
  <si>
    <t>Liquidity</t>
  </si>
  <si>
    <t>less: Disposal gains fixed assets</t>
  </si>
  <si>
    <t>FOCF</t>
  </si>
  <si>
    <t>Subordinated (hybrid) debt</t>
  </si>
  <si>
    <t>Other capitalised interest</t>
  </si>
  <si>
    <t>Short-term debt (t-1)</t>
  </si>
  <si>
    <t>[Scope-adjusted interests]</t>
  </si>
  <si>
    <t>[Scope Credit Metrics]_Liquidity (%)</t>
  </si>
  <si>
    <t>FRP_ScopeMetrics_LIQUIDITY</t>
  </si>
  <si>
    <t>$D$20</t>
  </si>
  <si>
    <t>CompetitivePositioning</t>
  </si>
  <si>
    <t>Competitive Positioning_Score</t>
  </si>
  <si>
    <t>Competitive Positioning</t>
  </si>
  <si>
    <t>$C$20</t>
  </si>
  <si>
    <t>A2A SPA</t>
  </si>
  <si>
    <t>Food &amp; Beverage</t>
  </si>
  <si>
    <t>Business and Consumer Services: asset-heavy, specialised workforce</t>
  </si>
  <si>
    <t>-2 notches</t>
  </si>
  <si>
    <t>June</t>
  </si>
  <si>
    <t>Hungary</t>
  </si>
  <si>
    <t>BAM</t>
  </si>
  <si>
    <t>H2</t>
  </si>
  <si>
    <t>Asset Retirement obligation</t>
  </si>
  <si>
    <t>Scope-Adjusted Interest</t>
  </si>
  <si>
    <t>Liquidity (%) - internal</t>
  </si>
  <si>
    <t>[Liquidity]</t>
  </si>
  <si>
    <t>[Scope Credit Metrics]_Scope-adjusted LTV (%)</t>
  </si>
  <si>
    <t>FRP_ScopeMetrics_LTV</t>
  </si>
  <si>
    <t>$D$13</t>
  </si>
  <si>
    <t>Country</t>
  </si>
  <si>
    <t>"=CountryList"</t>
  </si>
  <si>
    <t>Country of origin</t>
  </si>
  <si>
    <t>$C$13</t>
  </si>
  <si>
    <t>ABB Finance (Australia) Pty Limited</t>
  </si>
  <si>
    <t>Healthcare</t>
  </si>
  <si>
    <t>-3 notches</t>
  </si>
  <si>
    <t>July</t>
  </si>
  <si>
    <t>Ireland</t>
  </si>
  <si>
    <t>BGN</t>
  </si>
  <si>
    <t>9M</t>
  </si>
  <si>
    <t>Scope-adjusted debt (SaD)</t>
  </si>
  <si>
    <t>Liquidity (%) - internal+external</t>
  </si>
  <si>
    <t>[Discretionary Cash Flow]</t>
  </si>
  <si>
    <t>[Scope Credit Metrics]_ROCE</t>
  </si>
  <si>
    <t>FRP_ScopeMetrics_ROCE</t>
  </si>
  <si>
    <t>$D$12</t>
  </si>
  <si>
    <t>Currency</t>
  </si>
  <si>
    <t>"=CurrencyList"</t>
  </si>
  <si>
    <t>Reporting Currency/Units</t>
  </si>
  <si>
    <t>$C$12</t>
  </si>
  <si>
    <t>ABB FINANCE (USA) INC</t>
  </si>
  <si>
    <t>Industrial Goods &amp; Services</t>
  </si>
  <si>
    <t>-4 notches</t>
  </si>
  <si>
    <t>August</t>
  </si>
  <si>
    <t>Isle of Man</t>
  </si>
  <si>
    <t>BYN</t>
  </si>
  <si>
    <t>LTM</t>
  </si>
  <si>
    <t>[LTV]</t>
  </si>
  <si>
    <t>[Scope-adjusted EBITDA]_[Scope-adjusted EBITDA]</t>
  </si>
  <si>
    <t>FRP_ScopeadjustedEBITDA_ScopeadjustedEBITDA</t>
  </si>
  <si>
    <t>$D$29</t>
  </si>
  <si>
    <t>DebtProtection</t>
  </si>
  <si>
    <t>Debt Protection_Score</t>
  </si>
  <si>
    <t>Interest cover</t>
  </si>
  <si>
    <t>$C$29</t>
  </si>
  <si>
    <t>ABB FINANCE BV</t>
  </si>
  <si>
    <t>September</t>
  </si>
  <si>
    <t>Italian Republic</t>
  </si>
  <si>
    <t>CHF</t>
  </si>
  <si>
    <t>[Scope-adjusted EBITDA]_EBITDA</t>
  </si>
  <si>
    <t>FRP_ScopeadjustedEBITDA_EBITDA</t>
  </si>
  <si>
    <t>$D$22</t>
  </si>
  <si>
    <t>Diversification_Score</t>
  </si>
  <si>
    <t>$C$22</t>
  </si>
  <si>
    <t>ABB LTD</t>
  </si>
  <si>
    <t>Oil &amp; Gas</t>
  </si>
  <si>
    <t>October</t>
  </si>
  <si>
    <t>Kingdom of Belgium</t>
  </si>
  <si>
    <t>[Scope-adjusted EBITDA]_Operating lease payment in respective year</t>
  </si>
  <si>
    <t>FRP_ScopeadjustedEBITDA_OPERATING_LEASE_PAYMENTS</t>
  </si>
  <si>
    <t>$D$15</t>
  </si>
  <si>
    <t>EndofBusinessYearMonth</t>
  </si>
  <si>
    <t>"=MonthList"</t>
  </si>
  <si>
    <t>End of business year</t>
  </si>
  <si>
    <t>$C$15</t>
  </si>
  <si>
    <t>ABB TREASURY CENTER (USA) INC</t>
  </si>
  <si>
    <t>Personal &amp; Household Goods</t>
  </si>
  <si>
    <t>November</t>
  </si>
  <si>
    <t>Kingdom of Denmark</t>
  </si>
  <si>
    <t>CZK</t>
  </si>
  <si>
    <t>[Scope-adjusted EBITDA]_Disposal gains fixed assets</t>
  </si>
  <si>
    <t>FRP_ScopeadjustedEBITDA_DISPOSAL_GAINS_FIXED_ASSETS</t>
  </si>
  <si>
    <t>$E$15</t>
  </si>
  <si>
    <t>EndofBusinessYearDay</t>
  </si>
  <si>
    <t>"=DayList"</t>
  </si>
  <si>
    <t>Abroncs Kereskedőház Korlátolt Felelősségű Társaság</t>
  </si>
  <si>
    <t>Real Estate</t>
  </si>
  <si>
    <t>Kingdom of Morocco</t>
  </si>
  <si>
    <t>DKK</t>
  </si>
  <si>
    <t>[Scope-adjusted EBITDA]_Special Items</t>
  </si>
  <si>
    <t>FRP_ScopeadjustedEBITDA_SPECIAL_ITEMS</t>
  </si>
  <si>
    <t>$D$37</t>
  </si>
  <si>
    <t>FinancialPolicy</t>
  </si>
  <si>
    <t>"=NotchingList"</t>
  </si>
  <si>
    <t>Financial Policy</t>
  </si>
  <si>
    <t>$C$37</t>
  </si>
  <si>
    <t>ACAZIS AG</t>
  </si>
  <si>
    <t>Retail</t>
  </si>
  <si>
    <t>Kingdom of Norway</t>
  </si>
  <si>
    <t>GBP</t>
  </si>
  <si>
    <t>[Scope-adjusted EBITDA]_Scope-adjusted EBITDA</t>
  </si>
  <si>
    <t>FRP_ScopeadjustedEBITDA_ScopeadjustedEBITDA_TOTAL</t>
  </si>
  <si>
    <t>$D$27</t>
  </si>
  <si>
    <t>FRP</t>
  </si>
  <si>
    <t>Financial Risk Profile_Score</t>
  </si>
  <si>
    <t>Financial risk profile</t>
  </si>
  <si>
    <t>$C$27</t>
  </si>
  <si>
    <t>ACEA SPA</t>
  </si>
  <si>
    <t>Technology</t>
  </si>
  <si>
    <t>Kingdom of Spain</t>
  </si>
  <si>
    <t>GEL</t>
  </si>
  <si>
    <t>[Scope-adjusted FFO]_[Scope-adjusted FFO]</t>
  </si>
  <si>
    <t>FRP_ScopeadjustedFFO_ScopeadjustedFFO</t>
  </si>
  <si>
    <t>$D$40</t>
  </si>
  <si>
    <t>Governance</t>
  </si>
  <si>
    <t>Governance &amp; Structure</t>
  </si>
  <si>
    <t>$C$40</t>
  </si>
  <si>
    <t>Acorn Holdings B.V.</t>
  </si>
  <si>
    <t>Kingdom of Sweden</t>
  </si>
  <si>
    <t>HRK</t>
  </si>
  <si>
    <t>[Scope-adjusted FFO]_EBITDA</t>
  </si>
  <si>
    <t>FRP_ScopeadjustedFFO_EBITDA</t>
  </si>
  <si>
    <t>$D$7</t>
  </si>
  <si>
    <t>IndustryRisk1</t>
  </si>
  <si>
    <t>"=SectorList"</t>
  </si>
  <si>
    <t>Industry risk</t>
  </si>
  <si>
    <t>$C$7</t>
  </si>
  <si>
    <t>ACS Actividades de Construccion y Servicios SA</t>
  </si>
  <si>
    <t>Travel &amp; Leisure</t>
  </si>
  <si>
    <t>Kingdom of the Netherlands</t>
  </si>
  <si>
    <t>ISK</t>
  </si>
  <si>
    <t>[Scope-adjusted FFO]_less: (net) cash interest as per cashflow statement</t>
  </si>
  <si>
    <t>FRP_ScopeadjustedFFO_CASh_INTEREST_AS_PER_CASHFLOW_STATEMENT</t>
  </si>
  <si>
    <t>$E$7</t>
  </si>
  <si>
    <t>IndustryRisk2</t>
  </si>
  <si>
    <t>Addison Lee Midco II</t>
  </si>
  <si>
    <t>Utilities</t>
  </si>
  <si>
    <t>People's Republic of China</t>
  </si>
  <si>
    <t>MDL</t>
  </si>
  <si>
    <t>[Scope-adjusted FFO]_less: cash tax paid as per cashflow statement</t>
  </si>
  <si>
    <t>FRP_ScopeadjustedFFO_CASH_TAX_PAID_AS_PER_CASHFLOW_STATEMENT</t>
  </si>
  <si>
    <t>$F$7</t>
  </si>
  <si>
    <t>IndustryRisk3</t>
  </si>
  <si>
    <t>AddSecure Group Services AB</t>
  </si>
  <si>
    <t>Portuguese Republic</t>
  </si>
  <si>
    <t>MKD</t>
  </si>
  <si>
    <t>[Scope-adjusted FFO]_less: pension interest</t>
  </si>
  <si>
    <t>FRP_ScopeadjustedFFO_PENSION_INTEREST</t>
  </si>
  <si>
    <t>$G$7</t>
  </si>
  <si>
    <t>IndustryRisk4</t>
  </si>
  <si>
    <t>ADIDAS AG</t>
  </si>
  <si>
    <t>Republic of Austria</t>
  </si>
  <si>
    <t>NGN</t>
  </si>
  <si>
    <t>[Scope-adjusted FFO]_add: depreciation component op leases</t>
  </si>
  <si>
    <t>FRP_ScopeadjustedFFO_DEPRECIATION_COMPONENT_OP_LEASES</t>
  </si>
  <si>
    <t>$H$7</t>
  </si>
  <si>
    <t>IndustryRisk5</t>
  </si>
  <si>
    <t>Adler Real Estate AG</t>
  </si>
  <si>
    <t>Republic of Bulgaria</t>
  </si>
  <si>
    <t>NOK</t>
  </si>
  <si>
    <t>[Scope-adjusted FFO]_add: dividends received from @equity</t>
  </si>
  <si>
    <t>FRP_ScopeadjustedFFO_DIVIDENDS_RECEIVED_FROM_EQUITY</t>
  </si>
  <si>
    <t>$I$7</t>
  </si>
  <si>
    <t>IndustryRisk6</t>
  </si>
  <si>
    <t>Republic of Croatia</t>
  </si>
  <si>
    <t>PLN</t>
  </si>
  <si>
    <t>[Scope-adjusted FFO]_less: Disposal gains fixed assets</t>
  </si>
  <si>
    <t>FRP_ScopeadjustedFFO_DISPOSAL_GAINS_FIXED_ASSETS</t>
  </si>
  <si>
    <t>$J$7</t>
  </si>
  <si>
    <t>IndustryRisk7</t>
  </si>
  <si>
    <t>AGRI-CORN Kft</t>
  </si>
  <si>
    <t>Metals &amp; Mining</t>
  </si>
  <si>
    <t>Republic of Cyprus</t>
  </si>
  <si>
    <t>RMB</t>
  </si>
  <si>
    <t>[Scope-adjusted FFO]_Scope-adjusted FFO</t>
  </si>
  <si>
    <t>FRP_ScopeadjustedFFO_ScopeadjustedFFO_TOTAL</t>
  </si>
  <si>
    <t>$D$8</t>
  </si>
  <si>
    <t>IndustryRiskScore1</t>
  </si>
  <si>
    <t>"=SectorRiskScoreList"</t>
  </si>
  <si>
    <t>Industry risk score</t>
  </si>
  <si>
    <t>$C$8</t>
  </si>
  <si>
    <t>AHOLD FINANCE USA LLC</t>
  </si>
  <si>
    <t>Republic of Estonia</t>
  </si>
  <si>
    <t>RON</t>
  </si>
  <si>
    <t>[Free operating cash flow]_[Free operating cash flow]</t>
  </si>
  <si>
    <t>FRP_Freeoperatingcashflow_Freeoperatingcashflow</t>
  </si>
  <si>
    <t>$E$8</t>
  </si>
  <si>
    <t>IndustryRiskScore2</t>
  </si>
  <si>
    <t>AIR BALTIC CORPORATION AS</t>
  </si>
  <si>
    <t>Oil&amp;Gas: E&amp;P</t>
  </si>
  <si>
    <t>Republic of Finland</t>
  </si>
  <si>
    <t>RSD</t>
  </si>
  <si>
    <t>[Free operating cash flow]_Operating cash flow</t>
  </si>
  <si>
    <t>FRP_Freeoperatingcashflow_OPERATING_CASH_FLOW</t>
  </si>
  <si>
    <t>$F$8</t>
  </si>
  <si>
    <t>IndustryRiskScore3</t>
  </si>
  <si>
    <t>Air China Ltd.</t>
  </si>
  <si>
    <t>Republic of Georgia</t>
  </si>
  <si>
    <t>RUB</t>
  </si>
  <si>
    <t>[Free operating cash flow]_Capex (net)</t>
  </si>
  <si>
    <t>FRP_Freeoperatingcashflow_CAPEX</t>
  </si>
  <si>
    <t>$G$8</t>
  </si>
  <si>
    <t>IndustryRiskScore4</t>
  </si>
  <si>
    <t>Air France KLM SA</t>
  </si>
  <si>
    <t>Republic of Latvia</t>
  </si>
  <si>
    <t>SEK</t>
  </si>
  <si>
    <t>[Free operating cash flow]_FOCF</t>
  </si>
  <si>
    <t>FRP_Freeoperatingcashflow_Freeoperatingcashflow_TOTAL</t>
  </si>
  <si>
    <t>$H$8</t>
  </si>
  <si>
    <t>IndustryRiskScore5</t>
  </si>
  <si>
    <t>Air France SA</t>
  </si>
  <si>
    <t>Republic of Lithuania</t>
  </si>
  <si>
    <t>TRY</t>
  </si>
  <si>
    <t>[Scope-adjusted debt (SaD)]_[Scope-adjusted debt (SaD)]</t>
  </si>
  <si>
    <t>FRP_Scopeadjusteddebt_Scopeadjusteddebt</t>
  </si>
  <si>
    <t>$I$8</t>
  </si>
  <si>
    <t>IndustryRiskScore6</t>
  </si>
  <si>
    <t>AIR LIQUIDE FINANCE</t>
  </si>
  <si>
    <t>Republic of Poland</t>
  </si>
  <si>
    <t>UAH</t>
  </si>
  <si>
    <t>[Scope-adjusted debt (SaD)]_Reported gross debt</t>
  </si>
  <si>
    <t>FRP_Scopeadjusteddebt_REPORTED_GROSS_DEBT</t>
  </si>
  <si>
    <t>$J$8</t>
  </si>
  <si>
    <t>IndustryRiskScore7</t>
  </si>
  <si>
    <t>AIR LIQUIDE SA</t>
  </si>
  <si>
    <t>Republic of Serbia</t>
  </si>
  <si>
    <t>[Scope-adjusted debt (SaD)]_Cash and cash equivalents</t>
  </si>
  <si>
    <t>FRP_Scopeadjusteddebt_CASH_AND_CASH_EQUIVALENTS</t>
  </si>
  <si>
    <t>$D$42</t>
  </si>
  <si>
    <t>IRfinal</t>
  </si>
  <si>
    <t>Issuer Rating</t>
  </si>
  <si>
    <t>Issuer rating</t>
  </si>
  <si>
    <t>$C$42</t>
  </si>
  <si>
    <t>AIRASIA GROUP BHD</t>
  </si>
  <si>
    <t>Republic of Slovenia</t>
  </si>
  <si>
    <t>[Scope-adjusted debt (SaD)]_Pension adjustment</t>
  </si>
  <si>
    <t>FRP_Scopeadjusteddebt_PENSION_ADJUSTMENTS</t>
  </si>
  <si>
    <t>$D$19</t>
  </si>
  <si>
    <t>IRP</t>
  </si>
  <si>
    <t>Industry Risk Profile_Score</t>
  </si>
  <si>
    <t>(Blended) Industry risk profile</t>
  </si>
  <si>
    <t>$C$19</t>
  </si>
  <si>
    <t>AIRGAS INC</t>
  </si>
  <si>
    <t>Republic of Turkey</t>
  </si>
  <si>
    <t>[Scope-adjusted debt (SaD)]_Leasing adjustment</t>
  </si>
  <si>
    <t>FRP_Scopeadjusteddebt_LEASING_ADJUSTMENT</t>
  </si>
  <si>
    <t>$D$34</t>
  </si>
  <si>
    <t>IRSA</t>
  </si>
  <si>
    <t>Issuer Rating Stand Alone</t>
  </si>
  <si>
    <t>Standalone credit assessment without supplementary rating drivers</t>
  </si>
  <si>
    <t>$C$34</t>
  </si>
  <si>
    <t>AKELIUS RESIDENTIAL PROPERTY AB (PUBL)</t>
  </si>
  <si>
    <t>Romania</t>
  </si>
  <si>
    <t>[Scope-adjusted debt (SaD)]_Subordinated (hybrid) debt</t>
  </si>
  <si>
    <t>FRP_Scopeadjusteddebt_HYBRID_DEBT</t>
  </si>
  <si>
    <t>$D$43</t>
  </si>
  <si>
    <t>IssuerOutlookfinal</t>
  </si>
  <si>
    <t>"=OutlookList"</t>
  </si>
  <si>
    <t>Outlook</t>
  </si>
  <si>
    <t>$C$43</t>
  </si>
  <si>
    <t>AKELIUS RESIDENTIAL PROPERTY FINANCING BV</t>
  </si>
  <si>
    <t>Technology: Software and IT Services</t>
  </si>
  <si>
    <t>State of Israel</t>
  </si>
  <si>
    <t>[Scope-adjusted debt (SaD)]_Asset Retirement obligation</t>
  </si>
  <si>
    <t>FRP_Scopeadjusteddebt_ASSET_RETIREMENT_OBLIGATION</t>
  </si>
  <si>
    <t>$D$28</t>
  </si>
  <si>
    <t>Leverage</t>
  </si>
  <si>
    <t>Leverage_Score</t>
  </si>
  <si>
    <t>$C$28</t>
  </si>
  <si>
    <t>AKER ASA</t>
  </si>
  <si>
    <t>Swiss Confederation</t>
  </si>
  <si>
    <t>[Scope-adjusted debt (SaD)]_Scope-adjusted debt (SaD)</t>
  </si>
  <si>
    <t>FRP_Scopeadjusteddebt_Scopeadjusteddebt_TOTAL</t>
  </si>
  <si>
    <t>$D$31</t>
  </si>
  <si>
    <t>LiquidityScore</t>
  </si>
  <si>
    <t>Liquidity_Score</t>
  </si>
  <si>
    <t>$C$31</t>
  </si>
  <si>
    <t>AKERSHUS ENERGI AS</t>
  </si>
  <si>
    <t>Ukraine</t>
  </si>
  <si>
    <t>[Scope-adjusted interests]_[Scope-adjusted interests]</t>
  </si>
  <si>
    <t>FRP_Scopeadjustedinterests_Scopeadjustedinterests</t>
  </si>
  <si>
    <t>$D$21</t>
  </si>
  <si>
    <t>MarketPosition</t>
  </si>
  <si>
    <t>Market Position_Score</t>
  </si>
  <si>
    <t>$C$21</t>
  </si>
  <si>
    <t>AKTIESELSKABET SCHOUW &amp; CO.</t>
  </si>
  <si>
    <t>United Arab Emirates</t>
  </si>
  <si>
    <t>[Scope-adjusted interests]_Interest paid</t>
  </si>
  <si>
    <t>FRP_Scopeadjustedinterests_INTEREST_PAID</t>
  </si>
  <si>
    <t>$D$5</t>
  </si>
  <si>
    <t>Methodology1</t>
  </si>
  <si>
    <t>"=MethodologyList"</t>
  </si>
  <si>
    <t>Rating methodologies applied</t>
  </si>
  <si>
    <t>$C$5</t>
  </si>
  <si>
    <t>AKZO NOBEL NV</t>
  </si>
  <si>
    <t>United Kingdom</t>
  </si>
  <si>
    <t>[Scope-adjusted interests]_Interest received</t>
  </si>
  <si>
    <t>FRP_Scopeadjustedinterests_INTEREST_RECEIVED</t>
  </si>
  <si>
    <t>$E$5</t>
  </si>
  <si>
    <t>Methodology2</t>
  </si>
  <si>
    <t>AKZO NOBEL SWEDEN FINANCE AB (PUBL)</t>
  </si>
  <si>
    <t>United States of America</t>
  </si>
  <si>
    <t>[Scope-adjusted interests]_Interest expense pensions</t>
  </si>
  <si>
    <t>FRP_Scopeadjustedinterests_INTEREST_EXPENSE_PENSIONS</t>
  </si>
  <si>
    <t>$F$5</t>
  </si>
  <si>
    <t>Methodology3</t>
  </si>
  <si>
    <t>ALDESA FINANCIAL SERVICES SA</t>
  </si>
  <si>
    <t>[Scope-adjusted interests]_Interest component operating leases</t>
  </si>
  <si>
    <t>FRP_Scopeadjustedinterests_INTEREST_COMPONENT_OPERATING_LEASES</t>
  </si>
  <si>
    <t>$G$5</t>
  </si>
  <si>
    <t>Methodology4</t>
  </si>
  <si>
    <t>Alfa Equity Holding Kft</t>
  </si>
  <si>
    <t>[Scope-adjusted interests]_Scope-Adjusted Interest</t>
  </si>
  <si>
    <t>FRP_Scopeadjustedinterests_Scopeadjustedinterests_TOTAL</t>
  </si>
  <si>
    <t>$H$5</t>
  </si>
  <si>
    <t>Methodology5</t>
  </si>
  <si>
    <t>ALFA LAVAL AB</t>
  </si>
  <si>
    <t>[Liquidity]_[Liquidity]</t>
  </si>
  <si>
    <t>FRP_Liquidity_Liquidity</t>
  </si>
  <si>
    <t>$I$5</t>
  </si>
  <si>
    <t>Methodology6</t>
  </si>
  <si>
    <t>ALFA LAVAL TREASURY INTERNATIONAL AB (PUBL)</t>
  </si>
  <si>
    <t>[Liquidity]_Cash and marketable securities equivalents (t-1)</t>
  </si>
  <si>
    <t>FRP_Liquidity_CASH_AND_MARKETABLE_SECURITIES_EQUIVALENTS</t>
  </si>
  <si>
    <t>$J$5</t>
  </si>
  <si>
    <t>Methodology7</t>
  </si>
  <si>
    <t>ALLIANDER NV</t>
  </si>
  <si>
    <t>[Liquidity]_Free operating cash flow (t)</t>
  </si>
  <si>
    <t>FRP_Liquidity_FREE_OPERATING_CASH_FLOW</t>
  </si>
  <si>
    <t>$D$46</t>
  </si>
  <si>
    <t>NegativeRatingChangeDriver</t>
  </si>
  <si>
    <t>"="</t>
  </si>
  <si>
    <t>Negative Rating Change Driver</t>
  </si>
  <si>
    <t>Negative rating change driver</t>
  </si>
  <si>
    <t>$C$46</t>
  </si>
  <si>
    <t>ALNO AG (Konzern)</t>
  </si>
  <si>
    <t>[Liquidity]_Committed unused bank facilities (t-1)</t>
  </si>
  <si>
    <t>FRP_Liquidity_COMMITTED_UNUSED_BANK_FACILITIES</t>
  </si>
  <si>
    <t>$D$38</t>
  </si>
  <si>
    <t>ParentSupport</t>
  </si>
  <si>
    <t>Parent Support</t>
  </si>
  <si>
    <t>Parent support</t>
  </si>
  <si>
    <t>$C$38</t>
  </si>
  <si>
    <t>ALTEO ENERGIASZOLGALTATO NYRT</t>
  </si>
  <si>
    <t>[Liquidity]_Committed unused factoring facilities (t-1)</t>
  </si>
  <si>
    <t>FRP_Liquidity_COMMITTED_UNUSED_FACTORING_LINES</t>
  </si>
  <si>
    <t>$D$39</t>
  </si>
  <si>
    <t>PeerContext</t>
  </si>
  <si>
    <t>Peer Context</t>
  </si>
  <si>
    <t>Peer context</t>
  </si>
  <si>
    <t>$C$39</t>
  </si>
  <si>
    <t>AMADEUS CAPITAL MARKETS SA</t>
  </si>
  <si>
    <t>[Liquidity]_Short-term debt (t-1)</t>
  </si>
  <si>
    <t>FRP_Liquidity_SHORT_TERM_DEBT</t>
  </si>
  <si>
    <t>$D$45</t>
  </si>
  <si>
    <t>PositiveRatingChangeDriver</t>
  </si>
  <si>
    <t>Positive Rating Change Driver</t>
  </si>
  <si>
    <t>Positive rating change driver</t>
  </si>
  <si>
    <t>$C$45</t>
  </si>
  <si>
    <t>AMADEUS FINANCE BV</t>
  </si>
  <si>
    <t>[Liquidity]_Liquidity (%) - internal</t>
  </si>
  <si>
    <t>FRP_Liquidity_INTERNAL_TOTAL</t>
  </si>
  <si>
    <t>$D$23</t>
  </si>
  <si>
    <t>Profitability</t>
  </si>
  <si>
    <t>Profitability_Score</t>
  </si>
  <si>
    <t>Operating profitability</t>
  </si>
  <si>
    <t>$C$23</t>
  </si>
  <si>
    <t>AMADEUS IT GROUP SA</t>
  </si>
  <si>
    <t>[Liquidity]_Liquidity (%) - internal+external</t>
  </si>
  <si>
    <t>FRP_Liquidity_INTERNAL_EXTERNAL_TOTAL</t>
  </si>
  <si>
    <t>$D$2</t>
  </si>
  <si>
    <t>RatedEntity</t>
  </si>
  <si>
    <t>Rated Entity</t>
  </si>
  <si>
    <t>Rated entity</t>
  </si>
  <si>
    <t>$C$2</t>
  </si>
  <si>
    <t>Amadys Group BV</t>
  </si>
  <si>
    <t>[Discretionary Cash Flow]_[Discretionary Cash Flow]</t>
  </si>
  <si>
    <t>FRP_DiscretionaryCashFlow_DiscretionaryCashFlow</t>
  </si>
  <si>
    <t>$D$52</t>
  </si>
  <si>
    <t>SeniorSecuredDebt</t>
  </si>
  <si>
    <t>Senior Secured Debt</t>
  </si>
  <si>
    <t>Senior secured debt rating</t>
  </si>
  <si>
    <t>$C$52</t>
  </si>
  <si>
    <t>ANDA PRESENT Kft</t>
  </si>
  <si>
    <t>[Discretionary Cash Flow]_Free Operating Cash Flow</t>
  </si>
  <si>
    <t>FRP_DiscretionaryCashFlow_FREE_OPERATING_CASH_FLOW</t>
  </si>
  <si>
    <t>$D$54</t>
  </si>
  <si>
    <t>SeniorUnsecuredDebt</t>
  </si>
  <si>
    <t>Senior Unsecured Debt</t>
  </si>
  <si>
    <t>Senior unsecured debt rating</t>
  </si>
  <si>
    <t>$C$54</t>
  </si>
  <si>
    <t>ANGLO AMERICAN CAPITAL PLC</t>
  </si>
  <si>
    <t>[Discretionary Cash Flow]_Dividends</t>
  </si>
  <si>
    <t>FRP_DiscretionaryCashFlow_DIVIDENDS</t>
  </si>
  <si>
    <t>$D$48</t>
  </si>
  <si>
    <t>ShorttermDebt</t>
  </si>
  <si>
    <t>"=ShortTermRatingsList"</t>
  </si>
  <si>
    <t>Short term Debt</t>
  </si>
  <si>
    <t>Short-term debt rating</t>
  </si>
  <si>
    <t>$C$48</t>
  </si>
  <si>
    <t>ANGLO AMERICAN PLC</t>
  </si>
  <si>
    <t>[Discretionary Cash Flow]_Discretionary Cash Flow</t>
  </si>
  <si>
    <t>FRP_DiscretionaryCashFlow_DiscretionaryCashFlow_TOTAL</t>
  </si>
  <si>
    <t>$D$56</t>
  </si>
  <si>
    <t>SubordinatedDebt</t>
  </si>
  <si>
    <t>Subordinated Debt</t>
  </si>
  <si>
    <t>Subordinated debt rating</t>
  </si>
  <si>
    <t>$C$56</t>
  </si>
  <si>
    <t>ANGLO AMERICAN SA FINANCE LTD</t>
  </si>
  <si>
    <t>[LTV]_[LTV]</t>
  </si>
  <si>
    <t>FRP_LTV_LTV</t>
  </si>
  <si>
    <t>$D$58</t>
  </si>
  <si>
    <t>SubordinatedHybridDebt</t>
  </si>
  <si>
    <t>Subordinated Hybrid Debt</t>
  </si>
  <si>
    <t>Subordinated (hybrid) rating</t>
  </si>
  <si>
    <t>$C$58</t>
  </si>
  <si>
    <t>ANHEUSER BUSCH INBEV NV</t>
  </si>
  <si>
    <t>[LTV]_Total Assets</t>
  </si>
  <si>
    <t>FRP_LTV_TOTAL_ASSETS</t>
  </si>
  <si>
    <t>$D$36</t>
  </si>
  <si>
    <t>SUPPRD</t>
  </si>
  <si>
    <t>Supplementary rating drivers</t>
  </si>
  <si>
    <t>$C$36</t>
  </si>
  <si>
    <t>ANHEUSER-BUSCH COMPANIES LLC</t>
  </si>
  <si>
    <t>[LTV]_Unrestricted cash and cash equivalents</t>
  </si>
  <si>
    <t>FRP_LTV_UNRESTRICTED_CASH_AND_CASH_EQUIVALENTS</t>
  </si>
  <si>
    <t>$E$12</t>
  </si>
  <si>
    <t>Unit</t>
  </si>
  <si>
    <t>"=ReportingUnitList"</t>
  </si>
  <si>
    <t>ANHEUSER-BUSCH INBEV FINANCE INC</t>
  </si>
  <si>
    <t>[LTV]_Fair value of derivatives</t>
  </si>
  <si>
    <t>FRP_LTV_FAIR_VALUE_OF_DERIVATIVES</t>
  </si>
  <si>
    <t>$D$53</t>
  </si>
  <si>
    <t>ExpectedRecoverySSDR</t>
  </si>
  <si>
    <t>"=RecoveryExpectationsList"</t>
  </si>
  <si>
    <t>Expected Recovery SSDR</t>
  </si>
  <si>
    <t>Senior secured debt rating - recovery rate</t>
  </si>
  <si>
    <t>$C$53</t>
  </si>
  <si>
    <t>ANHEUSER-BUSCH INBEV WORLDWIDE INC</t>
  </si>
  <si>
    <t>[LTV]_Difference of fair value of properties or other holdings compared to book value</t>
  </si>
  <si>
    <t>FRP_LTV_DIFFERENCE_OF_FAIR_VALUE_OF_PROPERTIES_OR_OTHER_HOLDINGS_COMPARED_TO_BOOK_VALUE</t>
  </si>
  <si>
    <t>$D$55</t>
  </si>
  <si>
    <t>ExpectedRecoverySUDR</t>
  </si>
  <si>
    <t>Expected Recovery SUDR</t>
  </si>
  <si>
    <t>Senior unsecured debt rating - recovery rate</t>
  </si>
  <si>
    <t>$C$55</t>
  </si>
  <si>
    <t>Appeninn Holding Nyrt</t>
  </si>
  <si>
    <t>[LTV]_Total LTV</t>
  </si>
  <si>
    <t>FRP_LTV_LTV_TOTAL</t>
  </si>
  <si>
    <t>$D$57</t>
  </si>
  <si>
    <t>ExpectedRecoverySDR</t>
  </si>
  <si>
    <t>Expected Recovery SDR</t>
  </si>
  <si>
    <t>Subordinated debt rating - recovery rate</t>
  </si>
  <si>
    <t>$C$57</t>
  </si>
  <si>
    <t>Apricot Topco Limited</t>
  </si>
  <si>
    <t>[Scope-adjusted interests]_Interest subordinated (hybrid) debt</t>
  </si>
  <si>
    <t>FRP_Scopeadjustedinterests_INTEREST_HYBRID_DEBT</t>
  </si>
  <si>
    <t>$D$59</t>
  </si>
  <si>
    <t>ExpectedRecoverySHDR</t>
  </si>
  <si>
    <t>Expected Recovery SHDR</t>
  </si>
  <si>
    <t>Subordinated (hybrid) rating - recovery rate</t>
  </si>
  <si>
    <t>$C$59</t>
  </si>
  <si>
    <t>Aranynektar Kft</t>
  </si>
  <si>
    <t>[Scope-adjusted debt (SaD)]_Restricted cash</t>
  </si>
  <si>
    <t>FRP_Scopeadjusteddebt_RESTRICTED_CASH</t>
  </si>
  <si>
    <t>$D$49</t>
  </si>
  <si>
    <t>InternallyProvidedLiquidityCover</t>
  </si>
  <si>
    <t>"=ShortTermDebtRatingCriteriaList"</t>
  </si>
  <si>
    <t>Internally provided liquidity cover</t>
  </si>
  <si>
    <t>$C$49</t>
  </si>
  <si>
    <t>ARKEMA SA</t>
  </si>
  <si>
    <t>[Liquidity]_Restricted cash (t-1)</t>
  </si>
  <si>
    <t>FRP_Liquidity_RESTRICTED_CASH_t-1</t>
  </si>
  <si>
    <t>$D$50</t>
  </si>
  <si>
    <t>InternallyAndExternallyProvidedLiquidityCover</t>
  </si>
  <si>
    <t>Internally and externally provided liquidity cover</t>
  </si>
  <si>
    <t>$C$50</t>
  </si>
  <si>
    <t>Arva AS</t>
  </si>
  <si>
    <t>$D$51</t>
  </si>
  <si>
    <t>BankingRelationshipsAndStandingInTheCapitalMarkets</t>
  </si>
  <si>
    <t>Banking relationships and standing in the capital markets</t>
  </si>
  <si>
    <t>$C$51</t>
  </si>
  <si>
    <t>ASML HOLDING NV</t>
  </si>
  <si>
    <t>$D$3</t>
  </si>
  <si>
    <t>CorporateSector</t>
  </si>
  <si>
    <t>"=CorporateSectorList"</t>
  </si>
  <si>
    <t>Corporate sector</t>
  </si>
  <si>
    <t>$C$3</t>
  </si>
  <si>
    <t>ASTM SPA</t>
  </si>
  <si>
    <t>$D$10</t>
  </si>
  <si>
    <t>SegmentationCriteria</t>
  </si>
  <si>
    <t>"=SegmentationCriteriaList"</t>
  </si>
  <si>
    <t>Segmentation criteria</t>
  </si>
  <si>
    <t>$C$10</t>
  </si>
  <si>
    <t>AstraZeneca plc</t>
  </si>
  <si>
    <t>$D$9</t>
  </si>
  <si>
    <t>IndustryWeight1</t>
  </si>
  <si>
    <t>"=IndustryWeightList"</t>
  </si>
  <si>
    <t>Industry weight1</t>
  </si>
  <si>
    <t>Industry weight</t>
  </si>
  <si>
    <t>$C$9</t>
  </si>
  <si>
    <t>ATEA ASA</t>
  </si>
  <si>
    <t>$E$9</t>
  </si>
  <si>
    <t>IndustryWeight2</t>
  </si>
  <si>
    <t>Industry weight2</t>
  </si>
  <si>
    <t>ATLANTIC RICHFIELD CO</t>
  </si>
  <si>
    <t>$F$9</t>
  </si>
  <si>
    <t>IndustryWeight3</t>
  </si>
  <si>
    <t>Industry weight3</t>
  </si>
  <si>
    <t>Atlas HoldCo 3 Ltd.</t>
  </si>
  <si>
    <t>$G$9</t>
  </si>
  <si>
    <t>IndustryWeight4</t>
  </si>
  <si>
    <t>Industry weight4</t>
  </si>
  <si>
    <t>AUDAX RENOVABLES SA</t>
  </si>
  <si>
    <t>$H$9</t>
  </si>
  <si>
    <t>IndustryWeight5</t>
  </si>
  <si>
    <t>Industry weight5</t>
  </si>
  <si>
    <t>Auplata S.A.</t>
  </si>
  <si>
    <t>$I$9</t>
  </si>
  <si>
    <t>IndustryWeight6</t>
  </si>
  <si>
    <t>Industry weight6</t>
  </si>
  <si>
    <t>AutoWallis Nyrt.</t>
  </si>
  <si>
    <t>$J$9</t>
  </si>
  <si>
    <t>IndustryWeight7</t>
  </si>
  <si>
    <t>Industry weight7</t>
  </si>
  <si>
    <t>AVECO Holding Aktiengesellschaft</t>
  </si>
  <si>
    <t>$D$184</t>
  </si>
  <si>
    <t>Subfactor1_1</t>
  </si>
  <si>
    <t>AVINOR AS</t>
  </si>
  <si>
    <t>$E$184</t>
  </si>
  <si>
    <t>Subfactor1_2</t>
  </si>
  <si>
    <t>AX VI INV4 Holding ApS</t>
  </si>
  <si>
    <t>$F$184</t>
  </si>
  <si>
    <t>Subfactor1_3</t>
  </si>
  <si>
    <t>AXIAL Javito, Kereskedelmi es Szolgaltato Kft</t>
  </si>
  <si>
    <t>$G$184</t>
  </si>
  <si>
    <t>Subfactor1_4</t>
  </si>
  <si>
    <t>Axpo Holding AG</t>
  </si>
  <si>
    <t>$H$184</t>
  </si>
  <si>
    <t>Subfactor1_5</t>
  </si>
  <si>
    <t>Axpo International SA</t>
  </si>
  <si>
    <t>$I$184</t>
  </si>
  <si>
    <t>Subfactor1_6</t>
  </si>
  <si>
    <t>B+N Referencia Zrt.</t>
  </si>
  <si>
    <t>$D$206</t>
  </si>
  <si>
    <t>Subfactor2_1</t>
  </si>
  <si>
    <t>Baduhenna Bidco Limited</t>
  </si>
  <si>
    <t>$E$206</t>
  </si>
  <si>
    <t>Subfactor2_2</t>
  </si>
  <si>
    <t>Baromfi Coop KFT</t>
  </si>
  <si>
    <t>$F$206</t>
  </si>
  <si>
    <t>Subfactor2_3</t>
  </si>
  <si>
    <t>BASF Finance Europe N.V.</t>
  </si>
  <si>
    <t>$G$206</t>
  </si>
  <si>
    <t>Subfactor2_4</t>
  </si>
  <si>
    <t>BASF SE</t>
  </si>
  <si>
    <t>$H$206</t>
  </si>
  <si>
    <t>Subfactor2_5</t>
  </si>
  <si>
    <t>Bayer AG</t>
  </si>
  <si>
    <t>$I$206</t>
  </si>
  <si>
    <t>Subfactor2_6</t>
  </si>
  <si>
    <t>BAYER CAPITAL CORPORATION BV</t>
  </si>
  <si>
    <t>$D$228</t>
  </si>
  <si>
    <t>Subfactor3_1</t>
  </si>
  <si>
    <t>BAYER CONSTRUCT Zrt</t>
  </si>
  <si>
    <t>$E$228</t>
  </si>
  <si>
    <t>Subfactor3_2</t>
  </si>
  <si>
    <t>BAYER HOLDING LTD</t>
  </si>
  <si>
    <t>$F$228</t>
  </si>
  <si>
    <t>Subfactor3_3</t>
  </si>
  <si>
    <t>BAYER US FINANCE II LLC</t>
  </si>
  <si>
    <t>$G$228</t>
  </si>
  <si>
    <t>Subfactor3_4</t>
  </si>
  <si>
    <t>BAYER US FINANCE LLC</t>
  </si>
  <si>
    <t>$H$228</t>
  </si>
  <si>
    <t>Subfactor3_5</t>
  </si>
  <si>
    <t>Bayerische Motoren Werke Aktiengesellschaft</t>
  </si>
  <si>
    <t>Subfactor3_6</t>
  </si>
  <si>
    <t>BCM Zweite Beteiligungs GmbH</t>
  </si>
  <si>
    <t>$D$250</t>
  </si>
  <si>
    <t>Subfactor4_1</t>
  </si>
  <si>
    <t>Beno Holding AG</t>
  </si>
  <si>
    <t>$E$250</t>
  </si>
  <si>
    <t>Subfactor4_2</t>
  </si>
  <si>
    <t>BERTELSMANN SE &amp; CO KGAA</t>
  </si>
  <si>
    <t>$F$250</t>
  </si>
  <si>
    <t>Subfactor4_3</t>
  </si>
  <si>
    <t>Best in Parking &amp; Real Estate AG</t>
  </si>
  <si>
    <t>$G$250</t>
  </si>
  <si>
    <t>Subfactor4_4</t>
  </si>
  <si>
    <t>BEST IN PARKING KONZERNFINANZIERUNGS GMBH</t>
  </si>
  <si>
    <t>$H$250</t>
  </si>
  <si>
    <t>Subfactor4_5</t>
  </si>
  <si>
    <t>BHS Trans Kft</t>
  </si>
  <si>
    <t>Subfactor4_6</t>
  </si>
  <si>
    <t>Biggeorge Property Zrt</t>
  </si>
  <si>
    <t>$D$272</t>
  </si>
  <si>
    <t>Subfactor5_1</t>
  </si>
  <si>
    <t>Bikeleasing-Service GmbH &amp; Co. KG</t>
  </si>
  <si>
    <t>$E$272</t>
  </si>
  <si>
    <t>Subfactor5_2</t>
  </si>
  <si>
    <t>BioDue S.p.A.</t>
  </si>
  <si>
    <t>$F$272</t>
  </si>
  <si>
    <t>Subfactor5_3</t>
  </si>
  <si>
    <t>BioEnergie Taufkirchen GmbH &amp; Co. KG</t>
  </si>
  <si>
    <t>$G$272</t>
  </si>
  <si>
    <t>Subfactor5_4</t>
  </si>
  <si>
    <t>BioMa Energie AG Kraftwerkepool AG</t>
  </si>
  <si>
    <t>$H$272</t>
  </si>
  <si>
    <t>Subfactor5_5</t>
  </si>
  <si>
    <t>$I$272</t>
  </si>
  <si>
    <t>Subfactor5_6</t>
  </si>
  <si>
    <t>BK Group AG</t>
  </si>
  <si>
    <t>$D$186</t>
  </si>
  <si>
    <t>SubSubfactor_1</t>
  </si>
  <si>
    <t>BKW AG</t>
  </si>
  <si>
    <t>$D$190</t>
  </si>
  <si>
    <t>SubSubfactor_2</t>
  </si>
  <si>
    <t>BLS Beteiligungs GmbH</t>
  </si>
  <si>
    <t>$D$194</t>
  </si>
  <si>
    <t>SubSubfactor_3</t>
  </si>
  <si>
    <t>BMW CANADA INC</t>
  </si>
  <si>
    <t>$D$198</t>
  </si>
  <si>
    <t>SubSubfactor_4</t>
  </si>
  <si>
    <t>BMW FINANCE NV</t>
  </si>
  <si>
    <t>$D$202</t>
  </si>
  <si>
    <t>SubSubfactor_5</t>
  </si>
  <si>
    <t>BMW INTERNATIONAL INVESTMENT BV</t>
  </si>
  <si>
    <t>$D$208</t>
  </si>
  <si>
    <t>SubSubfactor_6</t>
  </si>
  <si>
    <t>BMW JAPAN FINANCE CORP</t>
  </si>
  <si>
    <t>$D$212</t>
  </si>
  <si>
    <t>SubSubfactor_7</t>
  </si>
  <si>
    <t>BMW US CAPITAL LLC</t>
  </si>
  <si>
    <t>$D$216</t>
  </si>
  <si>
    <t>SubSubfactor_8</t>
  </si>
  <si>
    <t>Bonafarm Zrt.</t>
  </si>
  <si>
    <t>$D$220</t>
  </si>
  <si>
    <t>SubSubfactor_9</t>
  </si>
  <si>
    <t>BORREGAARD ASA</t>
  </si>
  <si>
    <t>$D$224</t>
  </si>
  <si>
    <t>SubSubfactor_10</t>
  </si>
  <si>
    <t>BP CAPITAL MARKETS AMERICA INC</t>
  </si>
  <si>
    <t>$D$230</t>
  </si>
  <si>
    <t>SubSubfactor_11</t>
  </si>
  <si>
    <t>BP CAPITAL MARKETS PLC</t>
  </si>
  <si>
    <t>$D$234</t>
  </si>
  <si>
    <t>SubSubfactor_12</t>
  </si>
  <si>
    <t>BP PLC</t>
  </si>
  <si>
    <t>$D$238</t>
  </si>
  <si>
    <t>SubSubfactor_13</t>
  </si>
  <si>
    <t>BPOST SA</t>
  </si>
  <si>
    <t>$D$242</t>
  </si>
  <si>
    <t>SubSubfactor_14</t>
  </si>
  <si>
    <t>Brandbev S.a r.l.</t>
  </si>
  <si>
    <t>$D$246</t>
  </si>
  <si>
    <t>SubSubfactor_15</t>
  </si>
  <si>
    <t>Brandbrew S.A.</t>
  </si>
  <si>
    <t>$D$252</t>
  </si>
  <si>
    <t>SubSubfactor_16</t>
  </si>
  <si>
    <t>Bravogroup Holding Kft</t>
  </si>
  <si>
    <t>$D$256</t>
  </si>
  <si>
    <t>SubSubfactor_17</t>
  </si>
  <si>
    <t>BRISA CONCESSAO RODOVIARIA SA</t>
  </si>
  <si>
    <t>$D$260</t>
  </si>
  <si>
    <t>SubSubfactor_18</t>
  </si>
  <si>
    <t>BRITISH TELECOMMUNICATIONS PLC</t>
  </si>
  <si>
    <t>$D$264</t>
  </si>
  <si>
    <t>SubSubfactor_19</t>
  </si>
  <si>
    <t>BRUSSELS AIRPORT COMPANY S.A.</t>
  </si>
  <si>
    <t>$D$268</t>
  </si>
  <si>
    <t>SubSubfactor_20</t>
  </si>
  <si>
    <t>Budapesti Ingatlan Nyrt.</t>
  </si>
  <si>
    <t>$D$274</t>
  </si>
  <si>
    <t>SubSubfactor_21</t>
  </si>
  <si>
    <t>Caledonia Lion Limited</t>
  </si>
  <si>
    <t>$D$278</t>
  </si>
  <si>
    <t>SubSubfactor_22</t>
  </si>
  <si>
    <t>CargoBeamer AG</t>
  </si>
  <si>
    <t>$D$282</t>
  </si>
  <si>
    <t>SubSubfactor_23</t>
  </si>
  <si>
    <t>CARLSBERG A/S</t>
  </si>
  <si>
    <t>$D$286</t>
  </si>
  <si>
    <t>SubSubfactor_24</t>
  </si>
  <si>
    <t>CARLSBERG BREWERIES A/S</t>
  </si>
  <si>
    <t>$D$290</t>
  </si>
  <si>
    <t>SubSubfactor_25</t>
  </si>
  <si>
    <t>Cartonplast Holding GmbH</t>
  </si>
  <si>
    <t>CASINO GUICHARD PERRACHON SA</t>
  </si>
  <si>
    <t>CECONOMY AG</t>
  </si>
  <si>
    <t>Cerbona Élelmiszergyártó Kft.</t>
  </si>
  <si>
    <t>CETIN a.s.</t>
  </si>
  <si>
    <t>CETIN FINANCE BV</t>
  </si>
  <si>
    <t>CEZ AS</t>
  </si>
  <si>
    <t>CEZ Finance B.V.</t>
  </si>
  <si>
    <t>Childcare B.V.</t>
  </si>
  <si>
    <t>Chime Finance Ltd</t>
  </si>
  <si>
    <t>CLA Pig Kft.</t>
  </si>
  <si>
    <t>CLS Holdings plc</t>
  </si>
  <si>
    <t>Cobrew</t>
  </si>
  <si>
    <t>Codic Group (cons.)</t>
  </si>
  <si>
    <t>Color Pack Zrt</t>
  </si>
  <si>
    <t>Communication Technologies Kft</t>
  </si>
  <si>
    <t>COMPACTOR FASTIGHETER AB</t>
  </si>
  <si>
    <t>COMPAGNIE FINANCIERE ET DE PARTICIPATIONS ROULLIER</t>
  </si>
  <si>
    <t>Compagnie Financiere Michelin SA</t>
  </si>
  <si>
    <t>Compagnie Financière Michelin Suisse SA</t>
  </si>
  <si>
    <t>COMPAGNIE GENERALE DES ETABLISSEMENTS MICHELIN SCA</t>
  </si>
  <si>
    <t>CORDIA INTERNATIONAL Zrt.</t>
  </si>
  <si>
    <t>COREM KELLY AB</t>
  </si>
  <si>
    <t>COREM PROPERTY GROUP AB</t>
  </si>
  <si>
    <t>COVESTRO AG</t>
  </si>
  <si>
    <t>Criteria Caixa S.A.U.</t>
  </si>
  <si>
    <t>Crown Holding Kft.</t>
  </si>
  <si>
    <t>CSABAcast Kft</t>
  </si>
  <si>
    <t>Curata Care Holding GmbH</t>
  </si>
  <si>
    <t>CYTEC INDUSTRIES INC</t>
  </si>
  <si>
    <t>Daniella Kft</t>
  </si>
  <si>
    <t>DANONE SA</t>
  </si>
  <si>
    <t>DB NEXT SAS</t>
  </si>
  <si>
    <t>Deister-Süntel-Klinik GmbH</t>
  </si>
  <si>
    <t>DELHAIZE AMERICA LLC</t>
  </si>
  <si>
    <t>DELL INTERNATIONAL LLC</t>
  </si>
  <si>
    <t>DELL TECHNOLOGIES INC</t>
  </si>
  <si>
    <t>Delta Air Lines, Inc.</t>
  </si>
  <si>
    <t>DermaStars HoldCo GmbH</t>
  </si>
  <si>
    <t>DEUTSCHE BAHN AG</t>
  </si>
  <si>
    <t>DEUTSCHE BAHN FINANCE GMBH</t>
  </si>
  <si>
    <t>DEUTSCHE INDUSTRIE REIT-AG</t>
  </si>
  <si>
    <t>DEUTSCHE KONSUM REIT AG</t>
  </si>
  <si>
    <t>Deutsche Lufthansa AG</t>
  </si>
  <si>
    <t>DEUTSCHE POST AG</t>
  </si>
  <si>
    <t>DEUTSCHE POST FINANCE BV</t>
  </si>
  <si>
    <t>Deutsche Reihenhaus AG</t>
  </si>
  <si>
    <t>DEUTSCHE TELEKOM AG</t>
  </si>
  <si>
    <t>DEUTSCHE TELEKOM INTERNATIONAL FINANCE BV</t>
  </si>
  <si>
    <t>DF Deutsche Forfait AG (kons)</t>
  </si>
  <si>
    <t>DFDS AS</t>
  </si>
  <si>
    <t>DIC ASSET AG</t>
  </si>
  <si>
    <t>DISTRIBUIDORA INTERNACIONAL DE ALIMENTACION SA</t>
  </si>
  <si>
    <t>DNV GROUP AS</t>
  </si>
  <si>
    <t>Doc Bidco Limited</t>
  </si>
  <si>
    <t>Doctor Placement GmbH</t>
  </si>
  <si>
    <t>Dogado GmbH</t>
  </si>
  <si>
    <t>Dömper Kft</t>
  </si>
  <si>
    <t>DSM-FIRMENICH AG</t>
  </si>
  <si>
    <t>Duna House Holding Nyrt</t>
  </si>
  <si>
    <t>DVM GROUP KFT</t>
  </si>
  <si>
    <t>EASYJET FINCO BV</t>
  </si>
  <si>
    <t>EASYJET PLC</t>
  </si>
  <si>
    <t>ECOMMERCE ONE AcquiCo GmbH</t>
  </si>
  <si>
    <t>EESTI ENERGIA AS</t>
  </si>
  <si>
    <t>Egide S.A. (cons.)</t>
  </si>
  <si>
    <t>EGROUP HOLDING GMBH</t>
  </si>
  <si>
    <t>Eidsiva Energi AS</t>
  </si>
  <si>
    <t>Eiffage SA</t>
  </si>
  <si>
    <t>Eisenwerk Hasenclever &amp; Sohn GmbH</t>
  </si>
  <si>
    <t>ELECTRICITE DE FRANCE</t>
  </si>
  <si>
    <t>Elements Holding GmbH</t>
  </si>
  <si>
    <t>ELERING AS</t>
  </si>
  <si>
    <t>ELIA GROUP SA</t>
  </si>
  <si>
    <t>ELIA TRANSMISSION BELGIUM NV</t>
  </si>
  <si>
    <t>ELISA OYJ</t>
  </si>
  <si>
    <t>ELKEM ASA</t>
  </si>
  <si>
    <t>ELO SA</t>
  </si>
  <si>
    <t>Elso Pesti Malom- és Sütoipari Zártköruen Muködo Részvénytársaság</t>
  </si>
  <si>
    <t>ÉLTEX Kereskedelmi és Fuvarozó Kft.</t>
  </si>
  <si>
    <t>EMC CORP</t>
  </si>
  <si>
    <t>EMD Finance LLC</t>
  </si>
  <si>
    <t>Encavis AG</t>
  </si>
  <si>
    <t>ENCAVIS FINANCE BV</t>
  </si>
  <si>
    <t>ENEL FINANCE INTERNATIONAL NV</t>
  </si>
  <si>
    <t>ENEL SPA</t>
  </si>
  <si>
    <t>ENERGIE AG OBEROESTERREICH</t>
  </si>
  <si>
    <t>ENEXIS HOLDING NV</t>
  </si>
  <si>
    <t>ENGIE ALLIANCE GIE</t>
  </si>
  <si>
    <t>ENGIE SA</t>
  </si>
  <si>
    <t>Engine Holding LLC</t>
  </si>
  <si>
    <t>ENI FINANCE INTERNATIONAL SA</t>
  </si>
  <si>
    <t>ENI SPA</t>
  </si>
  <si>
    <t>ENI USA INC</t>
  </si>
  <si>
    <t>ENSI Kft.</t>
  </si>
  <si>
    <t>Envien International Ltd</t>
  </si>
  <si>
    <t>Envien Magyarorszag Kft</t>
  </si>
  <si>
    <t>EPKAR Zrt</t>
  </si>
  <si>
    <t>EQUINOR ASA</t>
  </si>
  <si>
    <t>ESSELUNGA SPA</t>
  </si>
  <si>
    <t>EUROBODEN GmbH</t>
  </si>
  <si>
    <t>EVINY AS</t>
  </si>
  <si>
    <t>EVN AG</t>
  </si>
  <si>
    <t>EVONIK FINANCE BV</t>
  </si>
  <si>
    <t>EVONIK INDUSTRIES AG</t>
  </si>
  <si>
    <t>EXOR NV</t>
  </si>
  <si>
    <t>EYEMAXX REAL ESTATE AG</t>
  </si>
  <si>
    <t>Falkensteiner Michaeler Tourism Group AG</t>
  </si>
  <si>
    <t>FASTIGHETS AB BALDER</t>
  </si>
  <si>
    <t>FASTPARTNER AB</t>
  </si>
  <si>
    <t>FCR IMMOBILIEN AG</t>
  </si>
  <si>
    <t>FELLESKJOPET AGRI SA</t>
  </si>
  <si>
    <t>FERROPATENT Zrt.</t>
  </si>
  <si>
    <t>FERROVIAL EMISIONES SA</t>
  </si>
  <si>
    <t>FERROVIAL NETHERLANDS BV</t>
  </si>
  <si>
    <t>FERROVIAL SA</t>
  </si>
  <si>
    <t>FERROVIAL SE</t>
  </si>
  <si>
    <t>FINGRID OYJ</t>
  </si>
  <si>
    <t>FIRMENICH INTERNATIONAL SA</t>
  </si>
  <si>
    <t>FIRMENICH PRODUCTIONS PARTICIPATIONS SAS</t>
  </si>
  <si>
    <t>FITOUT Befejező Építő-Szakipari Zártkörűen Működő Részvénytársaság</t>
  </si>
  <si>
    <t>FJELLINJEN AS</t>
  </si>
  <si>
    <t>FLUXYS BELGIUM NV</t>
  </si>
  <si>
    <t>FLUXYS NV</t>
  </si>
  <si>
    <t>FNAC DARTY SA</t>
  </si>
  <si>
    <t>FORRÁS Vagyonkezelési és Befektetési nyilvánosan működő Részvénytársaság</t>
  </si>
  <si>
    <t>Fortum Oyj</t>
  </si>
  <si>
    <t>Foster + Partners Group Limited</t>
  </si>
  <si>
    <t>Franz Haniel &amp; Cie. GmbH</t>
  </si>
  <si>
    <t>FRESENIUS FINANCE IRELAND II PLC</t>
  </si>
  <si>
    <t>FRESENIUS FINANCE IRELAND PLC</t>
  </si>
  <si>
    <t>FRESENIUS SE &amp; CO KGAA</t>
  </si>
  <si>
    <t>FRESENIUS US FINANCE II INC</t>
  </si>
  <si>
    <t>Friedola Gebr. Holzapfel GmbH</t>
  </si>
  <si>
    <t>Futureal Development Holding Ingatlanforgalmazó Kft</t>
  </si>
  <si>
    <t>Futureal Holding B.V.</t>
  </si>
  <si>
    <t>GALLFOOD Kft.</t>
  </si>
  <si>
    <t>gamigo AG</t>
  </si>
  <si>
    <t>GBA Holding GmbH</t>
  </si>
  <si>
    <t>GE CAPITAL AUSTRALIA FUNDING PTY LTD</t>
  </si>
  <si>
    <t>GE CAPITAL CANADA FUNDING CO</t>
  </si>
  <si>
    <t>GE CAPITAL EUROPEAN FUNDING UNLIMITED CO</t>
  </si>
  <si>
    <t>GE CAPITAL FRANCHISE FINANCE CORP</t>
  </si>
  <si>
    <t>GE CAPITAL FUNDING LLC</t>
  </si>
  <si>
    <t>GE Capital Global Holdings, LLC</t>
  </si>
  <si>
    <t>GE CAPITAL INTERNATIONAL FUNDING COMPANY UNLIMITED CO</t>
  </si>
  <si>
    <t>GE CAPITAL UK FUNDING UNLIMITED CO</t>
  </si>
  <si>
    <t>GÉMTECH Kft.</t>
  </si>
  <si>
    <t>GENERAL ELECTRIC CO</t>
  </si>
  <si>
    <t>Georgian Beer Company JSC</t>
  </si>
  <si>
    <t>Georgian Water and Power LLC</t>
  </si>
  <si>
    <t>Geothermische Kraftwerksgesellschaft Traunreut mbH</t>
  </si>
  <si>
    <t>GLAXOSMITHKLINE CAPITAL INC</t>
  </si>
  <si>
    <t>GLAXOSMITHKLINE CAPITAL K.K.</t>
  </si>
  <si>
    <t>GLAXOSMITHKLINE CAPITAL PLC</t>
  </si>
  <si>
    <t>GlaxoSmithKline plc</t>
  </si>
  <si>
    <t>Glitre Energi AS</t>
  </si>
  <si>
    <t>GLOBAL BIOENERGIES S.A.</t>
  </si>
  <si>
    <t>Global Refuse Holding Zrt.</t>
  </si>
  <si>
    <t>GLOBAL SERVICE GmbH</t>
  </si>
  <si>
    <t>GLOBE TRADE CENTRE SA</t>
  </si>
  <si>
    <t>Gloster Infokommunikációs Zártkörűen Működő Részvénytársaság</t>
  </si>
  <si>
    <t>GOPD Plc</t>
  </si>
  <si>
    <t>Gossler, Gobert &amp; Wolters Holding GmbH</t>
  </si>
  <si>
    <t>Graboplast Padlogyarto Zrt</t>
  </si>
  <si>
    <t>Grand City Properties SA</t>
  </si>
  <si>
    <t>GREEN NETWORK S.P.A.</t>
  </si>
  <si>
    <t>Greenergy Holding Vagyonkezelő Zrt</t>
  </si>
  <si>
    <t>GREP Green Public Lighting</t>
  </si>
  <si>
    <t>Groupe Capelli SA</t>
  </si>
  <si>
    <t>Groupe Homair Vacances (cons.)</t>
  </si>
  <si>
    <t>GRUPO ALDESA SA</t>
  </si>
  <si>
    <t>GSG GENII Software Group GmbH</t>
  </si>
  <si>
    <t>GTC Real Estate Development Hungary Zrt</t>
  </si>
  <si>
    <t>GVC George's Venture Capital Zártkörűen Működő Részvénytársaság</t>
  </si>
  <si>
    <t>HAFSLUND AS</t>
  </si>
  <si>
    <t>Hafslund ECO Vannkraft AS</t>
  </si>
  <si>
    <t>Hahn-Immobilien-Beteiligungs AG</t>
  </si>
  <si>
    <t>Hammonia Reederei GmbH &amp; Co. KG</t>
  </si>
  <si>
    <t>Haniel Finance Deutschland GmbH</t>
  </si>
  <si>
    <t>HAUGALAND KRAFT AS</t>
  </si>
  <si>
    <t>Heathrow Airport Holdings Limited</t>
  </si>
  <si>
    <t>HEATHROW FINANCE PLC</t>
  </si>
  <si>
    <t>HEATHROW FUNDING LTD</t>
  </si>
  <si>
    <t>HEIDELBERGER DRUCKMASCHINEN AG</t>
  </si>
  <si>
    <t>HEIMSTADEN BOSTAD AB</t>
  </si>
  <si>
    <t>HEIMSTADEN BOSTAD TREASURY BV</t>
  </si>
  <si>
    <t>HEINEKEN NV</t>
  </si>
  <si>
    <t>HELGELAND KRAFT AS</t>
  </si>
  <si>
    <t>HELL ENERGY Magyarorszag Kft</t>
  </si>
  <si>
    <t>HELLA FINANCE INTERNATIONAL BV</t>
  </si>
  <si>
    <t>HELLA GMBH &amp; CO KGAA</t>
  </si>
  <si>
    <t>HENKEL AG &amp; CO KGAA</t>
  </si>
  <si>
    <t>HERA SPA</t>
  </si>
  <si>
    <t>Hero HoldCo GmbH</t>
  </si>
  <si>
    <t>HGHI Holding GmbH and cons. corporates owned by Dr. Huth („HGHI“)</t>
  </si>
  <si>
    <t>Highlight Event and Entertainment AG</t>
  </si>
  <si>
    <t>HIKMA FINANCE USA LLC</t>
  </si>
  <si>
    <t>Hikma Pharmaceuticals plc</t>
  </si>
  <si>
    <t>HILTI AG</t>
  </si>
  <si>
    <t>HOERMANN INDUSTRIES GMBH</t>
  </si>
  <si>
    <t>HOLCIM AG</t>
  </si>
  <si>
    <t>HOLCIM FINANCE LUXEMBOURG SA</t>
  </si>
  <si>
    <t>HOLCIM HELVETIA FINANCE AG</t>
  </si>
  <si>
    <t>HOLCIM STERLING FINANCE NETHERLANDS BV</t>
  </si>
  <si>
    <t>HOLCIM US FINANCE SARL &amp; CIE SCS</t>
  </si>
  <si>
    <t>HRWorks Holding GmbH</t>
  </si>
  <si>
    <t>Hunland-Trade Kft</t>
  </si>
  <si>
    <t>IBERDROLA FINANCE IRELAND DAC</t>
  </si>
  <si>
    <t>IBERDROLA FINANZAS SA</t>
  </si>
  <si>
    <t>IBERDROLA INTERNATIONAL BV</t>
  </si>
  <si>
    <t>Iberdrola S.A.</t>
  </si>
  <si>
    <t>Iceman BidCo GmbH</t>
  </si>
  <si>
    <t>ILIJA BATLJAN INVEST AB</t>
  </si>
  <si>
    <t>Illés Holding Zrt</t>
  </si>
  <si>
    <t>IMMOKLES AG</t>
  </si>
  <si>
    <t>Impact SA</t>
  </si>
  <si>
    <t>INDIGO GROUP S.A.</t>
  </si>
  <si>
    <t>INFOGROUP HOLDING KFT</t>
  </si>
  <si>
    <t>Infoniqa HR Invest GmbH</t>
  </si>
  <si>
    <t>INMOBILIARIA COLONIAL SOCIMI SA</t>
  </si>
  <si>
    <t>Inotal Zrt</t>
  </si>
  <si>
    <t>INTERGLOBE AVIATION LIMITED</t>
  </si>
  <si>
    <t>INTERNATIONAL DISTRIBUTIONS SERVICES PLC</t>
  </si>
  <si>
    <t>IREN SPA</t>
  </si>
  <si>
    <t>ITK Holding Zrt.</t>
  </si>
  <si>
    <t>Jaka Trade Kft</t>
  </si>
  <si>
    <t>Jake Holdings Limited</t>
  </si>
  <si>
    <t>JSC Evex Hospitals</t>
  </si>
  <si>
    <t>JSC Lisi Lake Development</t>
  </si>
  <si>
    <t>JSC Nikora</t>
  </si>
  <si>
    <t>JSC Nikora Trade</t>
  </si>
  <si>
    <t>K+S AG</t>
  </si>
  <si>
    <t>K2A KNAUST &amp; ANDERSSON FASTIGHETER AB (PUBL)</t>
  </si>
  <si>
    <t>Karlie Group GmbH (kons.)</t>
  </si>
  <si>
    <t>Kendallco Ltd.</t>
  </si>
  <si>
    <t>KERRY GROUP FINANCIAL SERVICES UNLIMITED CO</t>
  </si>
  <si>
    <t>KERRY GROUP PLC</t>
  </si>
  <si>
    <t>KESZ HOLDING VALLALKOZASFEJLESZTO ES VAGYONKEZELO ZRT</t>
  </si>
  <si>
    <t>KLEPIERRE</t>
  </si>
  <si>
    <t>KOMETA 99 Élelmiszeripari Zártkörűen működő Részvénytársaság</t>
  </si>
  <si>
    <t>KONINKLIJKE AHOLD DELHAIZE NV</t>
  </si>
  <si>
    <t>KONINKLIJKE DSM NV</t>
  </si>
  <si>
    <t>KONINKLIJKE KPN NV</t>
  </si>
  <si>
    <t>KONINKLIJKE PHILIPS NV</t>
  </si>
  <si>
    <t>Kopaszi Gat Zrt.</t>
  </si>
  <si>
    <t>LAFARGEHOLCIM FINANCE US LLC</t>
  </si>
  <si>
    <t>Lakics Gepgyarto Kft</t>
  </si>
  <si>
    <t>LANXESS AG</t>
  </si>
  <si>
    <t>LANXESS Finance B.V.</t>
  </si>
  <si>
    <t>Laterex Építő Zrt.</t>
  </si>
  <si>
    <t>LEG IMMOBILIEN SE</t>
  </si>
  <si>
    <t>LEGRAND FRANCE SA</t>
  </si>
  <si>
    <t>LEGRAND SA</t>
  </si>
  <si>
    <t>Lexholding Zrt</t>
  </si>
  <si>
    <t>Liberty Zeta Limited</t>
  </si>
  <si>
    <t>Liebherr International AG</t>
  </si>
  <si>
    <t>Linde AG</t>
  </si>
  <si>
    <t>Linde Finance B.V.</t>
  </si>
  <si>
    <t>LINDE INC</t>
  </si>
  <si>
    <t>Linde PLC</t>
  </si>
  <si>
    <t>LP Portfolio Kft</t>
  </si>
  <si>
    <t>LR Global Holding GmbH</t>
  </si>
  <si>
    <t>LVMH MOET HENNESSY LOUIS VUITTON SE</t>
  </si>
  <si>
    <t>LYB FINANCE COMPANY BV</t>
  </si>
  <si>
    <t>LYB INTERNATIONAL FINANCE BV</t>
  </si>
  <si>
    <t>LYB INTERNATIONAL FINANCE II BV</t>
  </si>
  <si>
    <t>LYB INTERNATIONAL FINANCE III LLC</t>
  </si>
  <si>
    <t>LYONDELLBASELL INDUSTRIES NV</t>
  </si>
  <si>
    <t>Lyse AS</t>
  </si>
  <si>
    <t>Magyar Gomba Kertesz Kft</t>
  </si>
  <si>
    <t>Magyar Telekom Nyrt</t>
  </si>
  <si>
    <t>Market Építő Zártkörűen Működő Részvénytársaság</t>
  </si>
  <si>
    <t>Marso Kft</t>
  </si>
  <si>
    <t>Masterplast Nyrt.</t>
  </si>
  <si>
    <t>MEDIA Central Holding GmbH</t>
  </si>
  <si>
    <t>Menthe Investments S.à r.l.</t>
  </si>
  <si>
    <t>Mercedes-Benz Australia/Pacific Pty Ltd</t>
  </si>
  <si>
    <t>MERCEDES-BENZ FINANCE CANADA INC</t>
  </si>
  <si>
    <t>MERCEDES-BENZ FINANCE NORTH AMERICA LLC</t>
  </si>
  <si>
    <t>MERCEDES-BENZ GROUP AG</t>
  </si>
  <si>
    <t>MERCEDES-BENZ INTERNATIONAL FINANCE BV</t>
  </si>
  <si>
    <t>Mercedes-Benz Japan Co Ltd</t>
  </si>
  <si>
    <t>Mercedes-Benz Manufacturing Hungary Korlátolt Felelősségű Társaság</t>
  </si>
  <si>
    <t>Merck Financial Services GmbH</t>
  </si>
  <si>
    <t>Merck KGaA</t>
  </si>
  <si>
    <t>MERLIN PROPERTIES SOCIMI SA</t>
  </si>
  <si>
    <t>MET Hungary Solar Park Kft.</t>
  </si>
  <si>
    <t>Metal Hungaria Holding</t>
  </si>
  <si>
    <t>Metalcorp Group B.V.</t>
  </si>
  <si>
    <t>Meter BidCo GmbH</t>
  </si>
  <si>
    <t>MetMax Europe Zrt.</t>
  </si>
  <si>
    <t>Metrodora S.L.</t>
  </si>
  <si>
    <t>METSO OYJ</t>
  </si>
  <si>
    <t>MFG BIDCO LIMITED</t>
  </si>
  <si>
    <t>MG RE INVEST SA</t>
  </si>
  <si>
    <t>MICHELIN LUXEMBOURG SCS</t>
  </si>
  <si>
    <t>MITEC Automotive AG</t>
  </si>
  <si>
    <t>MMS USA FINANCING INC</t>
  </si>
  <si>
    <t>Mobilbox Kontener Kereskedelmi Kft</t>
  </si>
  <si>
    <t>MOL GROUP FINANCE SA</t>
  </si>
  <si>
    <t>MOL Group Finance Zrt.</t>
  </si>
  <si>
    <t>MOL MAGYAR OLAJES GAZIPARI NYRT</t>
  </si>
  <si>
    <t>MOLNLYCKE HOLDING AB</t>
  </si>
  <si>
    <t>Moneta Midco II Ltd</t>
  </si>
  <si>
    <t>MONSANTO CO</t>
  </si>
  <si>
    <t>MS Deutschland Beteiligungsgesellschaft</t>
  </si>
  <si>
    <t>MUTARES SE &amp; CO KGAA</t>
  </si>
  <si>
    <t>Nanjing Chervon Auto Precision Technology Co. Ltd</t>
  </si>
  <si>
    <t>NATURTEX Kft</t>
  </si>
  <si>
    <t>NE PROPERTY BV</t>
  </si>
  <si>
    <t>NEOVA OY</t>
  </si>
  <si>
    <t>NEPI ROCKCASTLE PLC</t>
  </si>
  <si>
    <t>NEPTUNIA INVEST AB (PUBL)</t>
  </si>
  <si>
    <t>NESTLE FINANCE INTERNATIONAL LTD SA</t>
  </si>
  <si>
    <t>NESTLE HOLDINGS INC</t>
  </si>
  <si>
    <t>NESTLE HUNGARIA KFT</t>
  </si>
  <si>
    <t>NESTLE PURINA PETCARE CO</t>
  </si>
  <si>
    <t>NESTLE SA</t>
  </si>
  <si>
    <t>NETINERA Deutschland GmbH</t>
  </si>
  <si>
    <t>NITROGENMUVEK VEGYIPARI ZRT</t>
  </si>
  <si>
    <t>NKG Jupiter GmbH</t>
  </si>
  <si>
    <t>NORSK HYDRO ASA</t>
  </si>
  <si>
    <t>Norwegian Air Shuttle ASA</t>
  </si>
  <si>
    <t>NORWEGIAN PROPERTY ASA</t>
  </si>
  <si>
    <t>NOS SGPS SA</t>
  </si>
  <si>
    <t>Novartis AG</t>
  </si>
  <si>
    <t>NOVARTIS CAPITAL CORP</t>
  </si>
  <si>
    <t>NOVARTIS FINANCE SA</t>
  </si>
  <si>
    <t>NOVARTIS SECURITIES INVESTMENT LTD</t>
  </si>
  <si>
    <t>Novo Nordisk A/S</t>
  </si>
  <si>
    <t>NOVOMATIC AG</t>
  </si>
  <si>
    <t>Oasis Healthcare Midco 2 Limited</t>
  </si>
  <si>
    <t>OBOS BBL</t>
  </si>
  <si>
    <t>OBOS EIENDOM AS</t>
  </si>
  <si>
    <t>OBOTRITIA CAPITAL KGaA</t>
  </si>
  <si>
    <t>OERSTED WIND POWER TW HOLDING A/S</t>
  </si>
  <si>
    <t>OMV AG</t>
  </si>
  <si>
    <t>Ontime Corporate Union S.L.</t>
  </si>
  <si>
    <t>Optimum Solar Kft.</t>
  </si>
  <si>
    <t>OPUS GLOBAL Nyrt.</t>
  </si>
  <si>
    <t>OPUS TIGAZ ZRT</t>
  </si>
  <si>
    <t>Ores Assets SC</t>
  </si>
  <si>
    <t>Ores SCRL</t>
  </si>
  <si>
    <t>ORKLA ASA</t>
  </si>
  <si>
    <t>ORLEN CAPITAL AB (PUBL)</t>
  </si>
  <si>
    <t>ORSTED A/S</t>
  </si>
  <si>
    <t>Ortiz Construcciones y Proyectos S.A.U.</t>
  </si>
  <si>
    <t>Otthon Centrum Holding Kft.</t>
  </si>
  <si>
    <t>OTTO GMBH &amp; CO KG</t>
  </si>
  <si>
    <t>Pannonia Bio Zrt.</t>
  </si>
  <si>
    <t>Pannon-Work Zrt.</t>
  </si>
  <si>
    <t>Pejoni AB</t>
  </si>
  <si>
    <t>PFIZER INC</t>
  </si>
  <si>
    <t>Pick Szeged Zrt.</t>
  </si>
  <si>
    <t>POLIS Immobilien AG</t>
  </si>
  <si>
    <t>POLSKI KONCERN NAFTOWY ORLEN SA</t>
  </si>
  <si>
    <t>Porsche Automobil Holding SE</t>
  </si>
  <si>
    <t>POSTEN NORGE AS</t>
  </si>
  <si>
    <t>POSTNL NV</t>
  </si>
  <si>
    <t>PP Digital Marketing AcquiCo GmbH</t>
  </si>
  <si>
    <t>PRAXAIR INC</t>
  </si>
  <si>
    <t>Premier Lotteries UK Ltd.</t>
  </si>
  <si>
    <t>Proform Ingatlanbefektetesi Zrt.</t>
  </si>
  <si>
    <t>Progress Étteremhálózat Korlátolt Felelősségű Társaság</t>
  </si>
  <si>
    <t>PROSEGUR CASH SA</t>
  </si>
  <si>
    <t>PROSEGUR COMPANIA DE SEGURIDAD SA</t>
  </si>
  <si>
    <t>PROXIMUS NV</t>
  </si>
  <si>
    <t>PUBLICIS GROUPE SA</t>
  </si>
  <si>
    <t>Puraglobe Holding GmbH</t>
  </si>
  <si>
    <t>Puralube GmbH</t>
  </si>
  <si>
    <t>QA-IQ Investments Ltd</t>
  </si>
  <si>
    <t>QUALIFORM Zrt.</t>
  </si>
  <si>
    <t>Quantel S.A. (cons.)</t>
  </si>
  <si>
    <t>QUATRIM SASU</t>
  </si>
  <si>
    <t>RAC Bidco Ltd.</t>
  </si>
  <si>
    <t>REALITES</t>
  </si>
  <si>
    <t>Redwood Holding Kft.</t>
  </si>
  <si>
    <t>REF Tents Acquisition GmbH</t>
  </si>
  <si>
    <t>Reneszánsz Kőfaragó Zrt</t>
  </si>
  <si>
    <t>REPSOL EUROPE FINANCE SARL</t>
  </si>
  <si>
    <t>REPSOL INTERNATIONAL FINANCE BV</t>
  </si>
  <si>
    <t>REPSOL OIL &amp; GAS CANADA INC</t>
  </si>
  <si>
    <t>REPSOL SA</t>
  </si>
  <si>
    <t>Richter Gedeon Nyrt.</t>
  </si>
  <si>
    <t>Roca Invest</t>
  </si>
  <si>
    <t>ROCHE FINANCE EUROPE BV</t>
  </si>
  <si>
    <t>Roche Holding AG</t>
  </si>
  <si>
    <t>ROCHE HOLDINGS INC</t>
  </si>
  <si>
    <t>ROCHE KAPITALMARKT AG</t>
  </si>
  <si>
    <t>RODAMCO SVERIGE AB</t>
  </si>
  <si>
    <t>Royal Air Maroc S.A.</t>
  </si>
  <si>
    <t>RTE RESEAU DE TRANSPORT D ELECTRICITE</t>
  </si>
  <si>
    <t>Ryanair DAC</t>
  </si>
  <si>
    <t>Ryanair Holdings plc</t>
  </si>
  <si>
    <t>Ryanair Ltd</t>
  </si>
  <si>
    <t>SAF HOLLAND SE</t>
  </si>
  <si>
    <t>SAIPEM FINANCE INTERNATIONAL BV</t>
  </si>
  <si>
    <t>SAIPEM SPA</t>
  </si>
  <si>
    <t>SAMHALLSBYGGNADSBOLAGET I NORDEN AB</t>
  </si>
  <si>
    <t>Sanofi S.A.</t>
  </si>
  <si>
    <t>SAP IRELAND US FINANCIAL SERVICES DAC</t>
  </si>
  <si>
    <t>SAP SE</t>
  </si>
  <si>
    <t>SCHIBSTED ASA</t>
  </si>
  <si>
    <t>SCHNEIDER ELECTRIC SE</t>
  </si>
  <si>
    <t>Scholz Recycling GmbH</t>
  </si>
  <si>
    <t>SECURITY CAPITAL GROUP INC</t>
  </si>
  <si>
    <t>SEGRO CAPITAL SARL</t>
  </si>
  <si>
    <t>SEGRO PLC</t>
  </si>
  <si>
    <t>SHELL INTERNATIONAL FINANCE BV</t>
  </si>
  <si>
    <t>SHELL PLC</t>
  </si>
  <si>
    <t>SIEMENS AG</t>
  </si>
  <si>
    <t>SIEMENS CAPITAL COMPANY LLC</t>
  </si>
  <si>
    <t>SIEMENS FINANCIERINGSMAATSCHAPPIJ NV</t>
  </si>
  <si>
    <t>SIGNA Prime 2021 S.C.S.</t>
  </si>
  <si>
    <t>SIGNA Prime Capital Market GmbH</t>
  </si>
  <si>
    <t>SIGNA Prime Capital Market S.C.S.</t>
  </si>
  <si>
    <t>SIGNA PRIME CM 2017 GMBH</t>
  </si>
  <si>
    <t>SIGNA Prime CM 2019 S.C.S.</t>
  </si>
  <si>
    <t>SIGNA Prime Finance 2020 S.C.S.</t>
  </si>
  <si>
    <t>SIGNA Prime Green Finance 2021  GmbH &amp; Co. KG</t>
  </si>
  <si>
    <t>SIGNA Prime Selection AG</t>
  </si>
  <si>
    <t>Silentnight Holdings Limited</t>
  </si>
  <si>
    <t>Silver Bidco GmbH</t>
  </si>
  <si>
    <t>SkyGreen Buildings Kft</t>
  </si>
  <si>
    <t>SMITHS GROUP PLC</t>
  </si>
  <si>
    <t>SNAM SPA</t>
  </si>
  <si>
    <t>Société C. d. Bois et Scieries de la M.</t>
  </si>
  <si>
    <t>SOCIETE FONCIERE LYONNAISE SA</t>
  </si>
  <si>
    <t>SoftNext SAS</t>
  </si>
  <si>
    <t>SOLVAY FINANCE AMERICA LLC</t>
  </si>
  <si>
    <t>SOLVAY FINANCE SA</t>
  </si>
  <si>
    <t>SOLVAY SA</t>
  </si>
  <si>
    <t>SONOVA HOLDING AG</t>
  </si>
  <si>
    <t>SSP Group plc</t>
  </si>
  <si>
    <t>Statkraft AS</t>
  </si>
  <si>
    <t>STATNETT SF</t>
  </si>
  <si>
    <t>Stavmat Építőanyag Kereskedelmi Zrt.</t>
  </si>
  <si>
    <t>STEEN &amp; STROM AS</t>
  </si>
  <si>
    <t>STELLANTIS FINANCE US INC.</t>
  </si>
  <si>
    <t>Stellantis N.V.</t>
  </si>
  <si>
    <t>Stern Immobilien AG</t>
  </si>
  <si>
    <t>Stronghold Invest AB</t>
  </si>
  <si>
    <t>Sumer Group Bidco Limited</t>
  </si>
  <si>
    <t>Summus Capital OÜ</t>
  </si>
  <si>
    <t>Sun Group Kft</t>
  </si>
  <si>
    <t>SunDell Estate Nyrt</t>
  </si>
  <si>
    <t>SUNNHORDLAND KRAFTLAG AS</t>
  </si>
  <si>
    <t>SUSA PARTNERSHIP LP</t>
  </si>
  <si>
    <t>SWISSCOM AG</t>
  </si>
  <si>
    <t>SWISSCOM FINANCE BV</t>
  </si>
  <si>
    <t>Syngenta AG</t>
  </si>
  <si>
    <t>SYNGENTA FINANCE AG</t>
  </si>
  <si>
    <t>SYNGENTA FINANCE NV</t>
  </si>
  <si>
    <t>Szabo Fogaskerekgyarto Kft</t>
  </si>
  <si>
    <t>Szinorg Universal Zrt</t>
  </si>
  <si>
    <t>Szirmaterm Kft</t>
  </si>
  <si>
    <t>TDF INFRASTRUCTURE SASU</t>
  </si>
  <si>
    <t>Tecnocom Group</t>
  </si>
  <si>
    <t>Tegeta Motors LLC</t>
  </si>
  <si>
    <t>TELE2 AB</t>
  </si>
  <si>
    <t>TELEFONICA EMISIONES SAU</t>
  </si>
  <si>
    <t>TELEFONICA EUROPE BV</t>
  </si>
  <si>
    <t>TELEFONICA SA</t>
  </si>
  <si>
    <t>TELEKOM AUSTRIA AG</t>
  </si>
  <si>
    <t>TELEKOM FINANZMANAGEMENT GMBH</t>
  </si>
  <si>
    <t>TELIA COMPANY AB</t>
  </si>
  <si>
    <t>TENNET HOLDING BV</t>
  </si>
  <si>
    <t>TENSIO AS</t>
  </si>
  <si>
    <t>TEREGA SA</t>
  </si>
  <si>
    <t>TERNA RETE ELETTRICA NAZIONALE SPA</t>
  </si>
  <si>
    <t>TESCO CORPORATE TREASURY SERVICES PLC</t>
  </si>
  <si>
    <t>TESCO PLC</t>
  </si>
  <si>
    <t>TEXTURA Zrt</t>
  </si>
  <si>
    <t>The Emirates Group</t>
  </si>
  <si>
    <t>Tierarzt Plus Finanz GmbH</t>
  </si>
  <si>
    <t>TINE SA</t>
  </si>
  <si>
    <t>TOMRA SYSTEMS ASA</t>
  </si>
  <si>
    <t>Toruk AS</t>
  </si>
  <si>
    <t>Total Webhosting Solutions B.V.</t>
  </si>
  <si>
    <t>TOTALENERGIES CAPITAL CANADA LTD</t>
  </si>
  <si>
    <t>TOTALENERGIES CAPITAL INTERNATIONAL SA</t>
  </si>
  <si>
    <t>TOTALENERGIES CAPITAL SA</t>
  </si>
  <si>
    <t>TOTALENERGIES SE</t>
  </si>
  <si>
    <t>Trans-Sped Logisztikai Szolgáltató Központ Korlátolt Felelősségű Társaság</t>
  </si>
  <si>
    <t>Tranzit-Food Kft</t>
  </si>
  <si>
    <t>Trellis Investments</t>
  </si>
  <si>
    <t>TRONDERENERGI AS</t>
  </si>
  <si>
    <t>TSH NETHERLANDS B.V.</t>
  </si>
  <si>
    <t>Tungsram Operations Kft.</t>
  </si>
  <si>
    <t>TURK HAVA YOLLARI AO</t>
  </si>
  <si>
    <t>TV2 Média Csoport Zártkörűen Működő Részvénytársaság</t>
  </si>
  <si>
    <t>TWS TH2 B.V.</t>
  </si>
  <si>
    <t>UAB “Atsinaujinančios energetikos investicijos“</t>
  </si>
  <si>
    <t>UBM Trade Zrt.</t>
  </si>
  <si>
    <t>UNIBAIL-RODAMCO-WESTFIELD SE</t>
  </si>
  <si>
    <t>Unident AB</t>
  </si>
  <si>
    <t>UNILEVER CAPITAL CORP</t>
  </si>
  <si>
    <t>UNILEVER FINANCE NETHERLANDS BV</t>
  </si>
  <si>
    <t>UNILEVER NV</t>
  </si>
  <si>
    <t>UNILEVER PLC</t>
  </si>
  <si>
    <t>Unilever United States Inc</t>
  </si>
  <si>
    <t>Uniper SE</t>
  </si>
  <si>
    <t>Unix Auto Kft.</t>
  </si>
  <si>
    <t>Vajda-Papir Kft</t>
  </si>
  <si>
    <t>VALEO SE</t>
  </si>
  <si>
    <t>Vancouver Midco 2 Ltd.</t>
  </si>
  <si>
    <t>Vascular Venture Kft</t>
  </si>
  <si>
    <t>Vasútvillamosító Korlátolt Felelősségű Társaság</t>
  </si>
  <si>
    <t>Vattenfall AB</t>
  </si>
  <si>
    <t>Vedes AG</t>
  </si>
  <si>
    <t>Vega-Holding Kft</t>
  </si>
  <si>
    <t>VEOLIA ENVIRONNEMENT SA</t>
  </si>
  <si>
    <t>Veritasi Homes &amp; Properties Ltd</t>
  </si>
  <si>
    <t>VIAVIN Epitoipari Zrt</t>
  </si>
  <si>
    <t>Virgin Active Investment Holdings Limited</t>
  </si>
  <si>
    <t>Virgin Atlantic Airways Ltd</t>
  </si>
  <si>
    <t>Vitens N.V.</t>
  </si>
  <si>
    <t>VODAFONE GROUP PLC</t>
  </si>
  <si>
    <t>Voith GmbH &amp; Co. KGaA</t>
  </si>
  <si>
    <t>VOLKSWAGEN AG</t>
  </si>
  <si>
    <t>VOLKSWAGEN FINANCIAL SERVICES AG</t>
  </si>
  <si>
    <t>VOLKSWAGEN GROUP OF AMERICA FINANCE LLC</t>
  </si>
  <si>
    <t>VOLKSWAGEN INTERNATIONAL BELGIUM SA</t>
  </si>
  <si>
    <t>VOLKSWAGEN INTERNATIONAL FINANCE NV</t>
  </si>
  <si>
    <t>Volkswagen International Luxemburg S.A.</t>
  </si>
  <si>
    <t>Volkswagen Leasing GmbH</t>
  </si>
  <si>
    <t>VOLVO AB</t>
  </si>
  <si>
    <t>VOLVO TREASURY AB</t>
  </si>
  <si>
    <t>Volvo Treasury Australia Pty Ltd</t>
  </si>
  <si>
    <t>Volvo Treasury North America L.P.</t>
  </si>
  <si>
    <t>VONOVIA FINANCE BV</t>
  </si>
  <si>
    <t>VONOVIA SE</t>
  </si>
  <si>
    <t>Vöröskö Kft</t>
  </si>
  <si>
    <t>VW CREDIT CANADA INC</t>
  </si>
  <si>
    <t>VW CREDIT INC</t>
  </si>
  <si>
    <t>WABERER'S INTERNATIONAL Nyilvánosan Működő Részvénytársaság</t>
  </si>
  <si>
    <t>Wallenborn Adria Wind GmbH</t>
  </si>
  <si>
    <t>Waterside A46. Vermögensverwaltungsgesellschaft mbH</t>
  </si>
  <si>
    <t>WEA FINANCE LLC</t>
  </si>
  <si>
    <t>Wellis Magyarország Zrt</t>
  </si>
  <si>
    <t>West Hungaria Bau Kft</t>
  </si>
  <si>
    <t>WESTFIELD AMERICA MANAGEMENT LTD</t>
  </si>
  <si>
    <t>Westfield UK &amp; Europe Finance Plc.</t>
  </si>
  <si>
    <t>WHO’S PERFECT. GmbH &amp; Co. KG</t>
  </si>
  <si>
    <t>WINGHOLDING INGATLANFEJLESZTO ES BERUHAZO ZRT</t>
  </si>
  <si>
    <t>Wintershall Dea AG</t>
  </si>
  <si>
    <t>WINTERSHALL DEA FINANCE 2 BV</t>
  </si>
  <si>
    <t>WINTERSHALL DEA FINANCE BV</t>
  </si>
  <si>
    <t>WOLTERS KLUWER NV</t>
  </si>
  <si>
    <t>Yorkshire Water Services Ltd</t>
  </si>
  <si>
    <t>ZALACO Sütőipari Zrt</t>
  </si>
  <si>
    <t>Zalando S.E.</t>
  </si>
  <si>
    <t>ZGS OpCo GmbH</t>
  </si>
  <si>
    <t>Sharepoint URL for ListData and Business RiskProfiles</t>
  </si>
  <si>
    <t>https://scopegroup.sharepoint.com/sites/ScopeData/O%20%20Corporates/Database/Lists/Don't_Touch_List_Data_v2.xlsx</t>
  </si>
  <si>
    <t>Company identifier</t>
  </si>
  <si>
    <t>Company B</t>
  </si>
  <si>
    <t>2026E</t>
  </si>
  <si>
    <t>2027E</t>
  </si>
  <si>
    <t>2028E</t>
  </si>
  <si>
    <t>No data</t>
  </si>
  <si>
    <t>Locked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</si>
</sst>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0;\(#,##0.00\);\-"/>
    <numFmt numFmtId="165" formatCode="_-* #,##0_)_-;\-* \(#,##0\)_-;_-* &quot;-&quot;_)_-;_-@_-"/>
    <numFmt numFmtId="166" formatCode="_-* #,##0.00\ _€_-;\-* #,##0.00\ _€_-;_-* &quot;-&quot;??\ _€_-;_-@_-"/>
    <numFmt numFmtId="167" formatCode="&quot; &quot;* #,##0.00&quot; &quot;;&quot;-&quot;* #,##0.00&quot; &quot;;&quot; &quot;* &quot;-&quot;#&quot; &quot;;&quot; &quot;@&quot; &quot;"/>
    <numFmt numFmtId="168" formatCode="[$-809]d\ mmm/\ yy;@"/>
  </numFmts>
  <fonts count="24">
    <font>
      <sz val="11"/>
      <color theme="1"/>
      <name val="Inter"/>
      <family val="2"/>
      <scheme val="minor"/>
    </font>
    <font>
      <sz val="11"/>
      <color theme="1"/>
      <name val="Inter"/>
      <family val="2"/>
      <scheme val="minor"/>
    </font>
    <font>
      <sz val="10"/>
      <name val="Arial Narrow"/>
      <family val="2"/>
    </font>
    <font>
      <sz val="9"/>
      <color rgb="FF000000"/>
      <name val="Arial"/>
      <family val="2"/>
    </font>
    <font>
      <sz val="8"/>
      <color theme="1"/>
      <name val="Arial"/>
      <family val="2"/>
    </font>
    <font>
      <b/>
      <sz val="9"/>
      <color theme="1"/>
      <name val="Arial"/>
      <family val="2"/>
    </font>
    <font>
      <b/>
      <sz val="9"/>
      <color rgb="FFFFFFFF"/>
      <name val="Arial"/>
      <family val="2"/>
    </font>
    <font>
      <sz val="9"/>
      <color theme="1"/>
      <name val="Arial"/>
      <family val="2"/>
    </font>
    <font>
      <b/>
      <sz val="11"/>
      <color theme="1"/>
      <name val="Arial"/>
      <family val="2"/>
    </font>
    <font>
      <sz val="10"/>
      <name val="Arial"/>
      <family val="2"/>
    </font>
    <font>
      <b/>
      <sz val="11"/>
      <color theme="0"/>
      <name val="Arial"/>
      <family val="2"/>
    </font>
    <font>
      <sz val="11"/>
      <color theme="1"/>
      <name val="Arial"/>
      <family val="2"/>
    </font>
    <font>
      <i/>
      <sz val="11"/>
      <color theme="1" tint="0.499984740745262"/>
      <name val="Arial"/>
      <family val="2"/>
    </font>
    <font>
      <sz val="11"/>
      <color rgb="FF000000"/>
      <name val="Calibri"/>
      <family val="2"/>
    </font>
    <font>
      <sz val="10"/>
      <color rgb="FF000000"/>
      <name val="Arial"/>
      <family val="2"/>
    </font>
    <font>
      <i/>
      <sz val="8"/>
      <color theme="1"/>
      <name val="Arial"/>
      <family val="2"/>
    </font>
    <font>
      <b/>
      <sz val="8"/>
      <color theme="1"/>
      <name val="Arial"/>
      <family val="2"/>
    </font>
    <font>
      <b/>
      <sz val="8"/>
      <color rgb="FFFF0000"/>
      <name val="Arial"/>
      <family val="2"/>
    </font>
    <font>
      <sz val="8"/>
      <color theme="1"/>
      <name val="Inter"/>
      <family val="2"/>
      <scheme val="minor"/>
    </font>
    <font>
      <u/>
      <sz val="11"/>
      <color theme="10"/>
      <name val="Inter"/>
      <family val="2"/>
      <scheme val="minor"/>
    </font>
    <font>
      <b/>
      <sz val="11"/>
      <color rgb="FFFF0000"/>
      <name val="Arial"/>
      <family val="2"/>
    </font>
    <font>
      <b/>
      <sz val="11"/>
      <name val="Arial"/>
      <family val="2"/>
    </font>
    <font>
      <i/>
      <sz val="10"/>
      <color theme="1"/>
      <name val="Inter"/>
      <scheme val="minor"/>
    </font>
    <font>
      <sz val="11"/>
      <name val="Aptos Narrow"/>
      <family val="2"/>
    </font>
  </fonts>
  <fills count="15">
    <fill>
      <patternFill patternType="none"/>
    </fill>
    <fill>
      <patternFill patternType="gray125"/>
    </fill>
    <fill>
      <patternFill patternType="solid">
        <fgColor rgb="FF80A6C7"/>
        <bgColor rgb="FF000000"/>
      </patternFill>
    </fill>
    <fill>
      <patternFill patternType="solid">
        <fgColor rgb="FFFFFF00"/>
        <bgColor indexed="64"/>
      </patternFill>
    </fill>
    <fill>
      <patternFill patternType="solid">
        <fgColor rgb="FF004D8F"/>
        <bgColor indexed="64"/>
      </patternFill>
    </fill>
    <fill>
      <patternFill patternType="solid">
        <fgColor theme="9" tint="0.79998168889431442"/>
        <bgColor indexed="64"/>
      </patternFill>
    </fill>
    <fill>
      <patternFill patternType="solid">
        <fgColor rgb="FFE6E7E8"/>
        <bgColor rgb="FF000000"/>
      </patternFill>
    </fill>
    <fill>
      <patternFill patternType="solid">
        <fgColor theme="0" tint="-4.9989318521683403E-2"/>
        <bgColor indexed="64"/>
      </patternFill>
    </fill>
    <fill>
      <patternFill patternType="solid">
        <fgColor rgb="FFDDEBF7"/>
        <bgColor indexed="64"/>
      </patternFill>
    </fill>
    <fill>
      <patternFill patternType="solid">
        <fgColor rgb="FFFF0000"/>
        <bgColor indexed="64"/>
      </patternFill>
    </fill>
    <fill>
      <patternFill patternType="solid">
        <fgColor theme="5"/>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rgb="FF001469"/>
        <bgColor indexed="64"/>
      </patternFill>
    </fill>
    <fill>
      <patternFill patternType="solid">
        <fgColor rgb="FF001469"/>
        <bgColor rgb="FF000000"/>
      </patternFill>
    </fill>
  </fills>
  <borders count="31">
    <border>
      <left/>
      <right/>
      <top/>
      <bottom/>
      <diagonal/>
    </border>
    <border>
      <left/>
      <right style="medium">
        <color rgb="FFFFFFFF"/>
      </right>
      <top style="medium">
        <color rgb="FFFFFFFF"/>
      </top>
      <bottom style="medium">
        <color rgb="FFFFFFFF"/>
      </bottom>
      <diagonal/>
    </border>
    <border>
      <left/>
      <right/>
      <top style="medium">
        <color rgb="FFFFFFFF"/>
      </top>
      <bottom style="medium">
        <color rgb="FFFFFFFF"/>
      </bottom>
      <diagonal/>
    </border>
    <border>
      <left/>
      <right/>
      <top/>
      <bottom style="thin">
        <color indexed="64"/>
      </bottom>
      <diagonal/>
    </border>
    <border>
      <left/>
      <right/>
      <top style="thin">
        <color indexed="64"/>
      </top>
      <bottom style="thin">
        <color indexed="64"/>
      </bottom>
      <diagonal/>
    </border>
    <border>
      <left style="medium">
        <color rgb="FFB4B6B7"/>
      </left>
      <right style="medium">
        <color rgb="FFFFFFFF"/>
      </right>
      <top/>
      <bottom style="medium">
        <color rgb="FFFFFFFF"/>
      </bottom>
      <diagonal/>
    </border>
    <border>
      <left/>
      <right style="medium">
        <color rgb="FFFFFFFF"/>
      </right>
      <top/>
      <bottom style="medium">
        <color rgb="FFFFFFFF"/>
      </bottom>
      <diagonal/>
    </border>
    <border>
      <left style="medium">
        <color rgb="FFB4B6B7"/>
      </left>
      <right style="medium">
        <color rgb="FFFFFFFF"/>
      </right>
      <top style="medium">
        <color rgb="FFFFFFFF"/>
      </top>
      <bottom style="double">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style="medium">
        <color indexed="64"/>
      </right>
      <top style="medium">
        <color indexed="64"/>
      </top>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dotted">
        <color indexed="64"/>
      </right>
      <top/>
      <bottom/>
      <diagonal/>
    </border>
    <border>
      <left style="dotted">
        <color indexed="64"/>
      </left>
      <right style="dotted">
        <color indexed="64"/>
      </right>
      <top/>
      <bottom/>
      <diagonal/>
    </border>
    <border>
      <left style="dotted">
        <color indexed="64"/>
      </left>
      <right style="medium">
        <color indexed="64"/>
      </right>
      <top/>
      <bottom/>
      <diagonal/>
    </border>
    <border>
      <left style="dotted">
        <color indexed="64"/>
      </left>
      <right style="medium">
        <color indexed="64"/>
      </right>
      <top/>
      <bottom style="medium">
        <color indexed="64"/>
      </bottom>
      <diagonal/>
    </border>
  </borders>
  <cellStyleXfs count="13">
    <xf numFmtId="0" fontId="0" fillId="0" borderId="0"/>
    <xf numFmtId="9" fontId="1" fillId="0" borderId="0"/>
    <xf numFmtId="0" fontId="2" fillId="0" borderId="0">
      <alignment horizontal="left" vertical="top" wrapText="1"/>
    </xf>
    <xf numFmtId="165" fontId="2" fillId="0" borderId="0"/>
    <xf numFmtId="166" fontId="1" fillId="0" borderId="0"/>
    <xf numFmtId="0" fontId="1" fillId="0" borderId="0"/>
    <xf numFmtId="0" fontId="13" fillId="0" borderId="0"/>
    <xf numFmtId="167" fontId="14" fillId="0" borderId="0"/>
    <xf numFmtId="0" fontId="1" fillId="0" borderId="0"/>
    <xf numFmtId="168" fontId="9" fillId="0" borderId="0"/>
    <xf numFmtId="43" fontId="1" fillId="0" borderId="0"/>
    <xf numFmtId="0" fontId="19" fillId="0" borderId="0"/>
    <xf numFmtId="0" fontId="23" fillId="0" borderId="0"/>
  </cellStyleXfs>
  <cellXfs count="89">
    <xf numFmtId="0" fontId="0" fillId="0" borderId="0" xfId="0"/>
    <xf numFmtId="0" fontId="11" fillId="0" borderId="0" xfId="0" applyFont="1"/>
    <xf numFmtId="0" fontId="11" fillId="7" borderId="0" xfId="0" applyFont="1" applyFill="1" applyAlignment="1">
      <alignment vertical="center"/>
    </xf>
    <xf numFmtId="0" fontId="11" fillId="7" borderId="0" xfId="0" applyFont="1" applyFill="1" applyAlignment="1">
      <alignment horizontal="center" vertical="center"/>
    </xf>
    <xf numFmtId="0" fontId="11" fillId="7" borderId="0" xfId="0" applyFont="1" applyFill="1"/>
    <xf numFmtId="0" fontId="12" fillId="7" borderId="0" xfId="0" applyFont="1" applyFill="1"/>
    <xf numFmtId="0" fontId="11" fillId="0" borderId="0" xfId="0" applyFont="1" applyAlignment="1">
      <alignment vertical="center"/>
    </xf>
    <xf numFmtId="0" fontId="11" fillId="0" borderId="0" xfId="0" applyFont="1" applyAlignment="1">
      <alignment horizontal="center" vertical="center"/>
    </xf>
    <xf numFmtId="0" fontId="5" fillId="7" borderId="21" xfId="0" applyFont="1" applyFill="1" applyBorder="1" applyAlignment="1">
      <alignment horizontal="center" vertical="center" wrapText="1"/>
    </xf>
    <xf numFmtId="0" fontId="5" fillId="3" borderId="22" xfId="0" applyFont="1" applyFill="1" applyBorder="1" applyAlignment="1">
      <alignment horizontal="center" vertical="center" wrapText="1"/>
    </xf>
    <xf numFmtId="0" fontId="7" fillId="7" borderId="0" xfId="0" applyFont="1" applyFill="1" applyAlignment="1">
      <alignment horizontal="center" vertical="center" wrapText="1"/>
    </xf>
    <xf numFmtId="0" fontId="4" fillId="0" borderId="23" xfId="0" applyFont="1" applyBorder="1" applyAlignment="1">
      <alignment horizontal="left" vertical="center"/>
    </xf>
    <xf numFmtId="0" fontId="4" fillId="3" borderId="23" xfId="0" applyFont="1" applyFill="1" applyBorder="1" applyAlignment="1">
      <alignment horizontal="left" vertical="center"/>
    </xf>
    <xf numFmtId="0" fontId="7" fillId="7" borderId="0" xfId="0" applyFont="1" applyFill="1" applyProtection="1">
      <protection locked="0"/>
    </xf>
    <xf numFmtId="0" fontId="4" fillId="0" borderId="0" xfId="0" applyFont="1" applyAlignment="1">
      <alignment horizontal="left" vertical="center"/>
    </xf>
    <xf numFmtId="0" fontId="3" fillId="2" borderId="5" xfId="0" applyFont="1" applyFill="1" applyBorder="1" applyAlignment="1">
      <alignment vertical="center" wrapText="1"/>
    </xf>
    <xf numFmtId="0" fontId="4" fillId="0" borderId="0" xfId="0" applyFont="1" applyAlignment="1">
      <alignment vertical="center"/>
    </xf>
    <xf numFmtId="0" fontId="15" fillId="0" borderId="0" xfId="0" applyFont="1" applyAlignment="1">
      <alignment vertical="center"/>
    </xf>
    <xf numFmtId="0" fontId="16" fillId="0" borderId="0" xfId="0" applyFont="1" applyAlignment="1">
      <alignment vertical="center"/>
    </xf>
    <xf numFmtId="0" fontId="4" fillId="5" borderId="0" xfId="0" applyFont="1" applyFill="1" applyAlignment="1">
      <alignment vertical="center"/>
    </xf>
    <xf numFmtId="0" fontId="15" fillId="5" borderId="0" xfId="0" applyFont="1" applyFill="1" applyAlignment="1">
      <alignment vertical="center"/>
    </xf>
    <xf numFmtId="0" fontId="4" fillId="0" borderId="0" xfId="0" quotePrefix="1" applyFont="1" applyAlignment="1">
      <alignment vertical="center"/>
    </xf>
    <xf numFmtId="0" fontId="16" fillId="5" borderId="0" xfId="0" applyFont="1" applyFill="1" applyAlignment="1">
      <alignment vertical="center"/>
    </xf>
    <xf numFmtId="0" fontId="4" fillId="9" borderId="0" xfId="0" applyFont="1" applyFill="1" applyAlignment="1">
      <alignment horizontal="left" vertical="center"/>
    </xf>
    <xf numFmtId="0" fontId="17" fillId="0" borderId="0" xfId="0" applyFont="1" applyAlignment="1">
      <alignment vertical="center"/>
    </xf>
    <xf numFmtId="0" fontId="4" fillId="5" borderId="0" xfId="0" applyFont="1" applyFill="1" applyAlignment="1">
      <alignment vertical="center" wrapText="1"/>
    </xf>
    <xf numFmtId="0" fontId="4" fillId="0" borderId="0" xfId="0" applyFont="1" applyAlignment="1">
      <alignment vertical="center" wrapText="1"/>
    </xf>
    <xf numFmtId="0" fontId="4" fillId="0" borderId="0" xfId="0" applyFont="1" applyAlignment="1">
      <alignment vertical="top" wrapText="1"/>
    </xf>
    <xf numFmtId="0" fontId="4" fillId="0" borderId="0" xfId="0" applyFont="1" applyAlignment="1">
      <alignment vertical="top"/>
    </xf>
    <xf numFmtId="0" fontId="4" fillId="5" borderId="0" xfId="0" applyFont="1" applyFill="1" applyAlignment="1">
      <alignment vertical="top" wrapText="1"/>
    </xf>
    <xf numFmtId="9" fontId="4" fillId="0" borderId="0" xfId="0" applyNumberFormat="1" applyFont="1" applyAlignment="1">
      <alignment horizontal="left" vertical="center"/>
    </xf>
    <xf numFmtId="0" fontId="4" fillId="10" borderId="0" xfId="0" applyFont="1" applyFill="1" applyAlignment="1">
      <alignment horizontal="left" vertical="center"/>
    </xf>
    <xf numFmtId="0" fontId="18" fillId="0" borderId="0" xfId="0" applyFont="1"/>
    <xf numFmtId="0" fontId="3" fillId="2" borderId="7" xfId="0" applyFont="1" applyFill="1" applyBorder="1" applyAlignment="1">
      <alignment vertical="center" wrapText="1"/>
    </xf>
    <xf numFmtId="0" fontId="16" fillId="0" borderId="0" xfId="0" applyFont="1" applyAlignment="1">
      <alignment vertical="center" wrapText="1"/>
    </xf>
    <xf numFmtId="0" fontId="16" fillId="0" borderId="0" xfId="0" applyFont="1" applyAlignment="1">
      <alignment horizontal="left" vertical="center" wrapText="1"/>
    </xf>
    <xf numFmtId="0" fontId="16" fillId="0" borderId="3" xfId="0" applyFont="1" applyBorder="1" applyAlignment="1">
      <alignment vertical="center"/>
    </xf>
    <xf numFmtId="0" fontId="4" fillId="11" borderId="4" xfId="0" applyFont="1" applyFill="1" applyBorder="1" applyAlignment="1">
      <alignment vertical="center" wrapText="1"/>
    </xf>
    <xf numFmtId="0" fontId="0" fillId="12" borderId="0" xfId="0" applyFill="1"/>
    <xf numFmtId="0" fontId="19" fillId="0" borderId="0" xfId="11"/>
    <xf numFmtId="0" fontId="10" fillId="4" borderId="0" xfId="0" applyFont="1" applyFill="1" applyAlignment="1">
      <alignment horizontal="left" vertical="center"/>
    </xf>
    <xf numFmtId="0" fontId="5" fillId="7" borderId="0" xfId="0" applyFont="1" applyFill="1" applyAlignment="1">
      <alignment horizontal="center" vertical="center" wrapText="1"/>
    </xf>
    <xf numFmtId="0" fontId="18" fillId="0" borderId="23" xfId="0" applyFont="1" applyBorder="1" applyAlignment="1">
      <alignment horizontal="left" vertical="center"/>
    </xf>
    <xf numFmtId="49" fontId="18" fillId="0" borderId="0" xfId="0" applyNumberFormat="1" applyFont="1" applyAlignment="1">
      <alignment horizontal="left" vertical="center"/>
    </xf>
    <xf numFmtId="0" fontId="18" fillId="3" borderId="23" xfId="0" applyFont="1" applyFill="1" applyBorder="1" applyAlignment="1">
      <alignment horizontal="left" vertical="center"/>
    </xf>
    <xf numFmtId="0" fontId="18" fillId="0" borderId="0" xfId="0" applyFont="1" applyAlignment="1">
      <alignment horizontal="left" vertical="center"/>
    </xf>
    <xf numFmtId="0" fontId="18" fillId="0" borderId="0" xfId="0" applyFont="1" applyAlignment="1">
      <alignment horizontal="right" vertical="center"/>
    </xf>
    <xf numFmtId="9" fontId="18" fillId="0" borderId="0" xfId="1" applyFont="1" applyAlignment="1">
      <alignment horizontal="left" vertical="center"/>
    </xf>
    <xf numFmtId="0" fontId="18" fillId="3" borderId="0" xfId="0" applyFont="1" applyFill="1" applyAlignment="1">
      <alignment horizontal="left" vertical="center"/>
    </xf>
    <xf numFmtId="0" fontId="18" fillId="3" borderId="23" xfId="0" quotePrefix="1" applyFont="1" applyFill="1" applyBorder="1" applyAlignment="1">
      <alignment horizontal="left" vertical="center"/>
    </xf>
    <xf numFmtId="0" fontId="18" fillId="0" borderId="23" xfId="0" applyFont="1" applyBorder="1"/>
    <xf numFmtId="0" fontId="0" fillId="0" borderId="23" xfId="0" applyBorder="1"/>
    <xf numFmtId="0" fontId="0" fillId="3" borderId="23" xfId="0" applyFill="1" applyBorder="1"/>
    <xf numFmtId="0" fontId="18" fillId="0" borderId="0" xfId="0" applyFont="1" applyAlignment="1">
      <alignment horizontal="right"/>
    </xf>
    <xf numFmtId="0" fontId="20" fillId="7" borderId="0" xfId="0" applyFont="1" applyFill="1" applyAlignment="1">
      <alignment vertical="center"/>
    </xf>
    <xf numFmtId="0" fontId="6" fillId="14" borderId="1" xfId="0" applyFont="1" applyFill="1" applyBorder="1" applyAlignment="1">
      <alignment horizontal="right" vertical="center"/>
    </xf>
    <xf numFmtId="0" fontId="10" fillId="13" borderId="24" xfId="0" applyFont="1" applyFill="1" applyBorder="1" applyAlignment="1">
      <alignment horizontal="left" vertical="center"/>
    </xf>
    <xf numFmtId="0" fontId="10" fillId="13" borderId="25" xfId="0" applyFont="1" applyFill="1" applyBorder="1" applyAlignment="1">
      <alignment horizontal="left" vertical="center"/>
    </xf>
    <xf numFmtId="0" fontId="10" fillId="13" borderId="12" xfId="0" applyFont="1" applyFill="1" applyBorder="1" applyAlignment="1">
      <alignment vertical="center"/>
    </xf>
    <xf numFmtId="0" fontId="10" fillId="13" borderId="9" xfId="0" applyFont="1" applyFill="1" applyBorder="1" applyAlignment="1">
      <alignment horizontal="left" vertical="center"/>
    </xf>
    <xf numFmtId="0" fontId="10" fillId="13" borderId="9" xfId="0" applyFont="1" applyFill="1" applyBorder="1" applyAlignment="1">
      <alignment vertical="center"/>
    </xf>
    <xf numFmtId="0" fontId="21" fillId="8" borderId="10" xfId="0" applyFont="1" applyFill="1" applyBorder="1" applyAlignment="1">
      <alignment vertical="center"/>
    </xf>
    <xf numFmtId="0" fontId="21" fillId="8" borderId="11" xfId="0" applyFont="1" applyFill="1" applyBorder="1" applyAlignment="1">
      <alignment vertical="center"/>
    </xf>
    <xf numFmtId="0" fontId="21" fillId="8" borderId="9" xfId="0" applyFont="1" applyFill="1" applyBorder="1" applyAlignment="1">
      <alignment vertical="center"/>
    </xf>
    <xf numFmtId="0" fontId="21" fillId="8" borderId="8" xfId="0" applyFont="1" applyFill="1" applyBorder="1" applyAlignment="1">
      <alignment vertical="center"/>
    </xf>
    <xf numFmtId="0" fontId="21" fillId="8" borderId="26" xfId="0" applyFont="1" applyFill="1" applyBorder="1" applyAlignment="1">
      <alignment vertical="center"/>
    </xf>
    <xf numFmtId="0" fontId="6" fillId="14" borderId="2" xfId="0" applyFont="1" applyFill="1" applyBorder="1" applyAlignment="1">
      <alignment horizontal="left" vertical="center"/>
    </xf>
    <xf numFmtId="0" fontId="8" fillId="11" borderId="9" xfId="0" applyFont="1" applyFill="1" applyBorder="1" applyAlignment="1" applyProtection="1">
      <alignment horizontal="center" vertical="center" wrapText="1"/>
      <protection locked="0"/>
    </xf>
    <xf numFmtId="0" fontId="11" fillId="11" borderId="11" xfId="0" applyFont="1" applyFill="1" applyBorder="1" applyAlignment="1" applyProtection="1">
      <alignment horizontal="center" vertical="center"/>
      <protection locked="0"/>
    </xf>
    <xf numFmtId="0" fontId="11" fillId="11" borderId="13" xfId="0" applyFont="1" applyFill="1" applyBorder="1" applyAlignment="1">
      <alignment horizontal="center" vertical="center" wrapText="1"/>
    </xf>
    <xf numFmtId="0" fontId="11" fillId="11" borderId="14" xfId="0" applyFont="1" applyFill="1" applyBorder="1" applyAlignment="1" applyProtection="1">
      <alignment horizontal="center" vertical="center" wrapText="1"/>
      <protection locked="0"/>
    </xf>
    <xf numFmtId="0" fontId="11" fillId="11" borderId="15" xfId="0" applyFont="1" applyFill="1" applyBorder="1" applyAlignment="1" applyProtection="1">
      <alignment horizontal="center" vertical="center" wrapText="1"/>
      <protection locked="0"/>
    </xf>
    <xf numFmtId="0" fontId="11" fillId="11" borderId="16" xfId="0" applyFont="1" applyFill="1" applyBorder="1" applyAlignment="1" applyProtection="1">
      <alignment horizontal="center" vertical="center" wrapText="1"/>
      <protection locked="0"/>
    </xf>
    <xf numFmtId="0" fontId="11" fillId="11" borderId="17" xfId="0" applyFont="1" applyFill="1" applyBorder="1" applyAlignment="1" applyProtection="1">
      <alignment horizontal="center" vertical="center" wrapText="1"/>
      <protection locked="0"/>
    </xf>
    <xf numFmtId="0" fontId="11" fillId="11" borderId="18" xfId="0" applyFont="1" applyFill="1" applyBorder="1" applyAlignment="1" applyProtection="1">
      <alignment horizontal="center" vertical="center" wrapText="1"/>
      <protection locked="0"/>
    </xf>
    <xf numFmtId="9" fontId="11" fillId="11" borderId="19" xfId="1" applyFont="1" applyFill="1" applyBorder="1" applyAlignment="1" applyProtection="1">
      <alignment horizontal="center" vertical="center" wrapText="1"/>
      <protection locked="0"/>
    </xf>
    <xf numFmtId="9" fontId="11" fillId="11" borderId="20" xfId="1" applyFont="1" applyFill="1" applyBorder="1" applyAlignment="1" applyProtection="1">
      <alignment horizontal="center" vertical="center" wrapText="1"/>
      <protection locked="0"/>
    </xf>
    <xf numFmtId="0" fontId="11" fillId="11" borderId="12" xfId="0" applyFont="1" applyFill="1" applyBorder="1" applyAlignment="1" applyProtection="1">
      <alignment horizontal="center" vertical="center" wrapText="1"/>
      <protection locked="0"/>
    </xf>
    <xf numFmtId="0" fontId="7" fillId="11" borderId="10" xfId="0" applyFont="1" applyFill="1" applyBorder="1" applyAlignment="1" applyProtection="1">
      <alignment horizontal="center" vertical="center"/>
      <protection locked="0"/>
    </xf>
    <xf numFmtId="0" fontId="11" fillId="11" borderId="10" xfId="0"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protection locked="0"/>
    </xf>
    <xf numFmtId="0" fontId="22" fillId="7" borderId="0" xfId="0" applyFont="1" applyFill="1"/>
    <xf numFmtId="0" fontId="22" fillId="7" borderId="0" xfId="0" applyFont="1" applyFill="1" applyProtection="1">
      <protection locked="0"/>
    </xf>
    <xf numFmtId="0" fontId="11" fillId="7" borderId="27" xfId="0" applyFont="1" applyFill="1" applyBorder="1" applyAlignment="1">
      <alignment horizontal="center" vertical="center" wrapText="1"/>
    </xf>
    <xf numFmtId="0" fontId="11" fillId="7" borderId="28" xfId="0" applyFont="1" applyFill="1" applyBorder="1" applyAlignment="1">
      <alignment horizontal="center" vertical="center" wrapText="1"/>
    </xf>
    <xf numFmtId="0" fontId="11" fillId="7" borderId="29" xfId="0" applyFont="1" applyFill="1" applyBorder="1" applyAlignment="1">
      <alignment horizontal="center" vertical="center" wrapText="1"/>
    </xf>
    <xf numFmtId="164" fontId="3" fillId="6" borderId="6" xfId="0" applyNumberFormat="1" applyFont="1" applyFill="1" applyBorder="1" applyAlignment="1">
      <alignment horizontal="right" vertical="center" wrapText="1"/>
    </xf>
    <xf numFmtId="0" fontId="11" fillId="11" borderId="9" xfId="0" applyFont="1" applyFill="1" applyBorder="1" applyAlignment="1" applyProtection="1">
      <alignment horizontal="center" vertical="center" wrapText="1"/>
      <protection locked="0"/>
    </xf>
    <xf numFmtId="9" fontId="11" fillId="11" borderId="30" xfId="1" applyFont="1" applyFill="1" applyBorder="1" applyAlignment="1" applyProtection="1">
      <alignment horizontal="center" vertical="center" wrapText="1"/>
      <protection locked="0"/>
    </xf>
  </cellXfs>
  <cellStyles count="13">
    <cellStyle name="Comma 2" xfId="4" xr:uid="{00000000-0005-0000-0000-000004000000}"/>
    <cellStyle name="Comma 3" xfId="10" xr:uid="{00000000-0005-0000-0000-00000B000000}"/>
    <cellStyle name="Comma 9" xfId="7" xr:uid="{00000000-0005-0000-0000-000008000000}"/>
    <cellStyle name="EYtext" xfId="2" xr:uid="{00000000-0005-0000-0000-000002000000}"/>
    <cellStyle name="Link" xfId="11" builtinId="8"/>
    <cellStyle name="Normal 11" xfId="6" xr:uid="{00000000-0005-0000-0000-000007000000}"/>
    <cellStyle name="Normal 12" xfId="8" xr:uid="{00000000-0005-0000-0000-000009000000}"/>
    <cellStyle name="Normal 2" xfId="3" xr:uid="{00000000-0005-0000-0000-000003000000}"/>
    <cellStyle name="Normal 3" xfId="9" xr:uid="{00000000-0005-0000-0000-00000A000000}"/>
    <cellStyle name="Normal 6" xfId="12" xr:uid="{00000000-0005-0000-0000-00000D000000}"/>
    <cellStyle name="Prozent" xfId="1" builtinId="5"/>
    <cellStyle name="Standard" xfId="0" builtinId="0"/>
    <cellStyle name="Standard 3 2" xfId="5" xr:uid="{00000000-0005-0000-0000-000006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10</xdr:col>
      <xdr:colOff>508000</xdr:colOff>
      <xdr:row>2</xdr:row>
      <xdr:rowOff>190500</xdr:rowOff>
    </xdr:from>
    <xdr:to>
      <xdr:col>12</xdr:col>
      <xdr:colOff>635000</xdr:colOff>
      <xdr:row>4</xdr:row>
      <xdr:rowOff>838200</xdr:rowOff>
    </xdr:to>
    <xdr:pic>
      <xdr:nvPicPr>
        <xdr:cNvPr id="7169" name="CommandButton1">
          <a:extLst>
            <a:ext uri="{FF2B5EF4-FFF2-40B4-BE49-F238E27FC236}">
              <a16:creationId xmlns:a16="http://schemas.microsoft.com/office/drawing/2014/main" id="{D28287E8-D717-EEE2-64CC-A8E0F441C48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50500" y="914400"/>
          <a:ext cx="1295400" cy="1028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twoCellAnchor editAs="oneCell">
    <xdr:from>
      <xdr:col>13</xdr:col>
      <xdr:colOff>139700</xdr:colOff>
      <xdr:row>1</xdr:row>
      <xdr:rowOff>406400</xdr:rowOff>
    </xdr:from>
    <xdr:to>
      <xdr:col>14</xdr:col>
      <xdr:colOff>635000</xdr:colOff>
      <xdr:row>3</xdr:row>
      <xdr:rowOff>139700</xdr:rowOff>
    </xdr:to>
    <xdr:pic>
      <xdr:nvPicPr>
        <xdr:cNvPr id="7170" name="CommandButton2">
          <a:extLst>
            <a:ext uri="{FF2B5EF4-FFF2-40B4-BE49-F238E27FC236}">
              <a16:creationId xmlns:a16="http://schemas.microsoft.com/office/drawing/2014/main" id="{162C09EB-028B-2A31-FEB7-2F2E2FF654E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785600" y="723900"/>
          <a:ext cx="1130300" cy="330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wsDr>
</file>

<file path=xl/theme/theme1.xml><?xml version="1.0" encoding="utf-8"?>
<a:theme xmlns:a="http://schemas.openxmlformats.org/drawingml/2006/main"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a:ea typeface=""/>
        <a:cs typeface=""/>
      </a:majorFont>
      <a:minorFont>
        <a:latin typeface="Inter"/>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solidFill>
        <a:ln>
          <a:noFill/>
        </a:ln>
      </a:spPr>
      <a:bodyPr rtlCol="0" anchor="ct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hyperlink" Target="../../../Database/Lists/Don%27t_Touch_List_Data_v2.xlsx"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V291"/>
  <sheetViews>
    <sheetView zoomScale="80" zoomScaleNormal="80" workbookViewId="0">
      <pane xSplit="7" ySplit="11" topLeftCell="H166" activePane="bottomRight" state="frozen"/>
      <selection pane="topRight" activeCell="D22" sqref="D22"/>
      <selection pane="bottomLeft" activeCell="D22" sqref="D22"/>
      <selection pane="bottomRight" activeCell="A180" sqref="A180"/>
    </sheetView>
  </sheetViews>
  <sheetFormatPr baseColWidth="10" defaultColWidth="9.1640625" defaultRowHeight="11" outlineLevelCol="1"/>
  <cols>
    <col min="1" max="1" width="14.1640625" style="16" customWidth="1"/>
    <col min="2" max="8" width="20.6640625" style="16" customWidth="1"/>
    <col min="9" max="9" width="9.1640625" style="16" customWidth="1"/>
    <col min="10" max="10" width="9.1640625" style="16" customWidth="1" outlineLevel="1"/>
    <col min="11" max="11" width="11.33203125" style="16" customWidth="1"/>
    <col min="12" max="12" width="12" style="16" customWidth="1"/>
    <col min="13" max="26" width="35.6640625" style="16" customWidth="1"/>
    <col min="27" max="27" width="9.1640625" style="16" customWidth="1"/>
    <col min="28" max="16384" width="9.1640625" style="16"/>
  </cols>
  <sheetData>
    <row r="1" spans="1:100">
      <c r="B1" s="36" t="s">
        <v>0</v>
      </c>
      <c r="C1" s="36" t="s">
        <v>1</v>
      </c>
      <c r="D1" s="36" t="s">
        <v>2</v>
      </c>
      <c r="E1" s="36" t="s">
        <v>3</v>
      </c>
      <c r="F1" s="36" t="s">
        <v>4</v>
      </c>
      <c r="G1" s="36" t="s">
        <v>5</v>
      </c>
      <c r="K1" s="24" t="s">
        <v>6</v>
      </c>
      <c r="M1" s="16" t="s">
        <v>7</v>
      </c>
      <c r="N1" s="16" t="s">
        <v>8</v>
      </c>
      <c r="O1" s="16" t="s">
        <v>7</v>
      </c>
      <c r="P1" s="16" t="s">
        <v>8</v>
      </c>
      <c r="Q1" s="16" t="s">
        <v>7</v>
      </c>
      <c r="R1" s="16" t="s">
        <v>7</v>
      </c>
      <c r="S1" s="16" t="s">
        <v>7</v>
      </c>
      <c r="T1" s="16" t="s">
        <v>8</v>
      </c>
      <c r="U1" s="16" t="s">
        <v>8</v>
      </c>
      <c r="V1" s="16" t="s">
        <v>8</v>
      </c>
      <c r="W1" s="16" t="s">
        <v>8</v>
      </c>
      <c r="X1" s="16" t="s">
        <v>8</v>
      </c>
      <c r="Y1" s="16" t="s">
        <v>8</v>
      </c>
      <c r="Z1" s="16" t="s">
        <v>7</v>
      </c>
      <c r="BL1" s="16" t="s">
        <v>9</v>
      </c>
      <c r="BQ1" s="16" t="s">
        <v>10</v>
      </c>
      <c r="CU1" s="16" t="s">
        <v>11</v>
      </c>
      <c r="CV1" s="16" t="s">
        <v>12</v>
      </c>
    </row>
    <row r="2" spans="1:100" ht="22.5" customHeight="1">
      <c r="B2" s="37">
        <f t="array" ref="B2">+MASTER!Methodology2</f>
        <v>0</v>
      </c>
      <c r="C2" s="37">
        <f t="array" ref="C2">+MASTER!Methodology3</f>
        <v>0</v>
      </c>
      <c r="D2" s="37">
        <f t="array" ref="D2">+MASTER!Methodology4</f>
        <v>0</v>
      </c>
      <c r="E2" s="37">
        <f t="array" ref="E2">+MASTER!Methodology5</f>
        <v>0</v>
      </c>
      <c r="F2" s="37">
        <f t="array" ref="F2">+MASTER!Methodology6</f>
        <v>0</v>
      </c>
      <c r="G2" s="37">
        <f t="array" ref="G2">+MASTER!Methodology7</f>
        <v>0</v>
      </c>
      <c r="J2" s="17">
        <v>1</v>
      </c>
      <c r="K2" s="18" t="s">
        <v>13</v>
      </c>
      <c r="M2" s="34" t="s">
        <v>14</v>
      </c>
      <c r="N2" s="34" t="s">
        <v>15</v>
      </c>
      <c r="O2" s="34" t="s">
        <v>16</v>
      </c>
      <c r="P2" s="34" t="s">
        <v>17</v>
      </c>
      <c r="Q2" s="34" t="s">
        <v>18</v>
      </c>
      <c r="R2" s="34" t="s">
        <v>19</v>
      </c>
      <c r="S2" s="34" t="s">
        <v>20</v>
      </c>
      <c r="T2" s="34" t="s">
        <v>21</v>
      </c>
      <c r="U2" s="34" t="s">
        <v>22</v>
      </c>
      <c r="V2" s="35" t="s">
        <v>23</v>
      </c>
      <c r="W2" s="34" t="s">
        <v>24</v>
      </c>
      <c r="X2" s="34" t="s">
        <v>25</v>
      </c>
      <c r="Y2" s="34" t="s">
        <v>26</v>
      </c>
      <c r="Z2" s="34" t="s">
        <v>27</v>
      </c>
      <c r="BQ2" s="11" t="s">
        <v>28</v>
      </c>
      <c r="CU2" s="16" t="s">
        <v>29</v>
      </c>
      <c r="CV2" s="16" t="s">
        <v>30</v>
      </c>
    </row>
    <row r="3" spans="1:100">
      <c r="J3" s="17">
        <f t="shared" ref="J3:J66" si="0">+J2+1</f>
        <v>2</v>
      </c>
      <c r="N3" s="14" t="s">
        <v>31</v>
      </c>
      <c r="O3" s="14" t="s">
        <v>32</v>
      </c>
      <c r="P3" s="14" t="s">
        <v>33</v>
      </c>
      <c r="S3" s="16" t="s">
        <v>34</v>
      </c>
      <c r="T3" s="14" t="s">
        <v>35</v>
      </c>
      <c r="U3" s="14"/>
      <c r="W3" s="14" t="s">
        <v>36</v>
      </c>
      <c r="X3" s="14" t="s">
        <v>37</v>
      </c>
      <c r="Y3" s="23" t="s">
        <v>37</v>
      </c>
      <c r="Z3" s="16" t="s">
        <v>38</v>
      </c>
      <c r="BQ3" s="11" t="s">
        <v>39</v>
      </c>
      <c r="CU3" s="16" t="s">
        <v>40</v>
      </c>
      <c r="CV3" s="16" t="s">
        <v>30</v>
      </c>
    </row>
    <row r="4" spans="1:100">
      <c r="J4" s="17">
        <f t="shared" si="0"/>
        <v>3</v>
      </c>
      <c r="N4" s="14" t="s">
        <v>41</v>
      </c>
      <c r="O4" s="14" t="s">
        <v>42</v>
      </c>
      <c r="P4" s="14" t="s">
        <v>43</v>
      </c>
      <c r="S4" s="16" t="s">
        <v>44</v>
      </c>
      <c r="T4" s="14" t="s">
        <v>35</v>
      </c>
      <c r="U4" s="14"/>
      <c r="W4" s="23" t="s">
        <v>45</v>
      </c>
      <c r="X4" s="14"/>
      <c r="Y4" s="31" t="s">
        <v>46</v>
      </c>
      <c r="Z4" s="16" t="s">
        <v>47</v>
      </c>
      <c r="BQ4" s="11" t="s">
        <v>48</v>
      </c>
      <c r="CU4" s="16" t="s">
        <v>49</v>
      </c>
      <c r="CV4" s="16" t="s">
        <v>30</v>
      </c>
    </row>
    <row r="5" spans="1:100">
      <c r="J5" s="17">
        <f t="shared" si="0"/>
        <v>4</v>
      </c>
      <c r="O5" s="14" t="s">
        <v>50</v>
      </c>
      <c r="P5" s="23" t="s">
        <v>51</v>
      </c>
      <c r="S5" s="16" t="s">
        <v>52</v>
      </c>
      <c r="T5" s="14" t="s">
        <v>53</v>
      </c>
      <c r="U5" s="14"/>
      <c r="X5" s="14"/>
      <c r="Y5" s="14" t="s">
        <v>54</v>
      </c>
      <c r="BQ5" s="11" t="s">
        <v>55</v>
      </c>
      <c r="CU5" s="16" t="s">
        <v>56</v>
      </c>
      <c r="CV5" s="16" t="s">
        <v>30</v>
      </c>
    </row>
    <row r="6" spans="1:100">
      <c r="J6" s="17">
        <f t="shared" si="0"/>
        <v>5</v>
      </c>
      <c r="O6" s="14" t="s">
        <v>57</v>
      </c>
      <c r="S6" s="16" t="s">
        <v>58</v>
      </c>
      <c r="T6" s="14" t="s">
        <v>59</v>
      </c>
      <c r="U6" s="14"/>
      <c r="X6" s="14"/>
      <c r="Y6" s="31" t="s">
        <v>60</v>
      </c>
      <c r="BQ6" s="11" t="s">
        <v>61</v>
      </c>
      <c r="CU6" s="16" t="s">
        <v>62</v>
      </c>
      <c r="CV6" s="16" t="s">
        <v>63</v>
      </c>
    </row>
    <row r="7" spans="1:100">
      <c r="J7" s="17">
        <f t="shared" si="0"/>
        <v>6</v>
      </c>
      <c r="T7" s="14" t="s">
        <v>64</v>
      </c>
      <c r="BQ7" s="11" t="s">
        <v>65</v>
      </c>
      <c r="CU7" s="16" t="s">
        <v>63</v>
      </c>
      <c r="CV7" s="16" t="s">
        <v>63</v>
      </c>
    </row>
    <row r="8" spans="1:100">
      <c r="J8" s="17">
        <f t="shared" si="0"/>
        <v>7</v>
      </c>
      <c r="T8" s="14" t="s">
        <v>66</v>
      </c>
      <c r="BQ8" s="11" t="s">
        <v>67</v>
      </c>
      <c r="CU8" s="16" t="s">
        <v>68</v>
      </c>
      <c r="CV8" s="16" t="s">
        <v>63</v>
      </c>
    </row>
    <row r="9" spans="1:100">
      <c r="J9" s="17">
        <f t="shared" si="0"/>
        <v>8</v>
      </c>
      <c r="T9" s="14" t="s">
        <v>69</v>
      </c>
      <c r="BQ9" s="11" t="s">
        <v>70</v>
      </c>
      <c r="CU9" s="16" t="s">
        <v>71</v>
      </c>
      <c r="CV9" s="16" t="s">
        <v>72</v>
      </c>
    </row>
    <row r="10" spans="1:100">
      <c r="J10" s="17">
        <f t="shared" si="0"/>
        <v>9</v>
      </c>
      <c r="T10" s="14" t="s">
        <v>73</v>
      </c>
      <c r="BQ10" s="11" t="s">
        <v>74</v>
      </c>
      <c r="CU10" s="16" t="s">
        <v>72</v>
      </c>
      <c r="CV10" s="16" t="s">
        <v>72</v>
      </c>
    </row>
    <row r="11" spans="1:100" ht="15" customHeight="1">
      <c r="A11" s="24" t="s">
        <v>75</v>
      </c>
      <c r="J11" s="17">
        <f t="shared" si="0"/>
        <v>10</v>
      </c>
      <c r="K11" s="18" t="s">
        <v>76</v>
      </c>
      <c r="BQ11" s="11" t="s">
        <v>77</v>
      </c>
      <c r="CU11" s="16" t="s">
        <v>78</v>
      </c>
      <c r="CV11" s="16" t="s">
        <v>72</v>
      </c>
    </row>
    <row r="12" spans="1:100" s="19" customFormat="1" ht="15" customHeight="1">
      <c r="A12" s="22" t="str">
        <f>+K12</f>
        <v>Factor 1</v>
      </c>
      <c r="B12" s="22" t="str">
        <f>IF(IFERROR(HLOOKUP(B$2,$M$2:$BL12,$J12,FALSE),"")="","",IFERROR(HLOOKUP(B$2,$M$2:$BL12,$J12,FALSE),""))</f>
        <v/>
      </c>
      <c r="C12" s="22" t="str">
        <f>IF(IFERROR(HLOOKUP(C$2,$M$2:$BL12,$J12,FALSE),"")="","",IFERROR(HLOOKUP(C$2,$M$2:$BL12,$J12,FALSE),""))</f>
        <v/>
      </c>
      <c r="D12" s="22" t="str">
        <f>IF(IFERROR(HLOOKUP(D$2,$M$2:$BL12,$J12,FALSE),"")="","",IFERROR(HLOOKUP(D$2,$M$2:$BL12,$J12,FALSE),""))</f>
        <v/>
      </c>
      <c r="E12" s="22" t="str">
        <f>IF(IFERROR(HLOOKUP(E$2,$M$2:$BL12,$J12,FALSE),"")="","",IFERROR(HLOOKUP(E$2,$M$2:$BL12,$J12,FALSE),""))</f>
        <v/>
      </c>
      <c r="F12" s="22" t="str">
        <f>IF(IFERROR(HLOOKUP(F$2,$M$2:$BL12,$J12,FALSE),"")="","",IFERROR(HLOOKUP(F$2,$M$2:$BL12,$J12,FALSE),""))</f>
        <v/>
      </c>
      <c r="G12" s="22" t="str">
        <f>IF(IFERROR(HLOOKUP(G$2,$M$2:$BL12,$J12,FALSE),"")="","",IFERROR(HLOOKUP(G$2,$M$2:$BL12,$J12,FALSE),""))</f>
        <v/>
      </c>
      <c r="H12" s="22"/>
      <c r="J12" s="20">
        <f t="shared" si="0"/>
        <v>11</v>
      </c>
      <c r="K12" s="19" t="s">
        <v>79</v>
      </c>
      <c r="M12" s="19" t="s">
        <v>80</v>
      </c>
      <c r="N12" s="19" t="s">
        <v>81</v>
      </c>
      <c r="O12" s="19" t="s">
        <v>82</v>
      </c>
      <c r="P12" s="19" t="s">
        <v>83</v>
      </c>
      <c r="Q12" s="19" t="s">
        <v>84</v>
      </c>
      <c r="R12" s="19" t="s">
        <v>85</v>
      </c>
      <c r="S12" s="19" t="s">
        <v>86</v>
      </c>
      <c r="T12" s="25" t="s">
        <v>85</v>
      </c>
      <c r="V12" s="19" t="s">
        <v>87</v>
      </c>
      <c r="W12" s="19" t="s">
        <v>88</v>
      </c>
      <c r="X12" s="19" t="s">
        <v>89</v>
      </c>
      <c r="Y12" s="19" t="s">
        <v>90</v>
      </c>
      <c r="Z12" s="19" t="s">
        <v>91</v>
      </c>
      <c r="BQ12" s="11" t="s">
        <v>92</v>
      </c>
      <c r="CU12" s="19" t="s">
        <v>93</v>
      </c>
      <c r="CV12" s="19" t="s">
        <v>94</v>
      </c>
    </row>
    <row r="13" spans="1:100" ht="15" customHeight="1">
      <c r="A13" s="16" t="str">
        <f t="shared" ref="A13:A18" si="1">+L13</f>
        <v>AA and above</v>
      </c>
      <c r="B13" s="16" t="str">
        <f>IF(IFERROR(HLOOKUP(B$2,$M$2:$BL13,$J13,FALSE),"")="","",IFERROR(HLOOKUP(B$2,$M$2:$BL13,$J13,FALSE),""))</f>
        <v/>
      </c>
      <c r="C13" s="16" t="str">
        <f>IF(IFERROR(HLOOKUP(C$2,$M$2:$BL13,$J13,FALSE),"")="","",IFERROR(HLOOKUP(C$2,$M$2:$BL13,$J13,FALSE),""))</f>
        <v/>
      </c>
      <c r="D13" s="16" t="str">
        <f>IF(IFERROR(HLOOKUP(D$2,$M$2:$BL13,$J13,FALSE),"")="","",IFERROR(HLOOKUP(D$2,$M$2:$BL13,$J13,FALSE),""))</f>
        <v/>
      </c>
      <c r="E13" s="16" t="str">
        <f>IF(IFERROR(HLOOKUP(E$2,$M$2:$BL13,$J13,FALSE),"")="","",IFERROR(HLOOKUP(E$2,$M$2:$BL13,$J13,FALSE),""))</f>
        <v/>
      </c>
      <c r="F13" s="16" t="str">
        <f>IF(IFERROR(HLOOKUP(F$2,$M$2:$BL13,$J13,FALSE),"")="","",IFERROR(HLOOKUP(F$2,$M$2:$BL13,$J13,FALSE),""))</f>
        <v/>
      </c>
      <c r="G13" s="16" t="str">
        <f>IF(IFERROR(HLOOKUP(G$2,$M$2:$BL13,$J13,FALSE),"")="","",IFERROR(HLOOKUP(G$2,$M$2:$BL13,$J13,FALSE),""))</f>
        <v/>
      </c>
      <c r="J13" s="17">
        <f t="shared" si="0"/>
        <v>12</v>
      </c>
      <c r="L13" s="16" t="s">
        <v>30</v>
      </c>
      <c r="M13" s="21" t="s">
        <v>95</v>
      </c>
      <c r="N13" s="27" t="s">
        <v>96</v>
      </c>
      <c r="O13" s="16" t="s">
        <v>97</v>
      </c>
      <c r="P13" s="16" t="s">
        <v>98</v>
      </c>
      <c r="Q13" s="16" t="s">
        <v>99</v>
      </c>
      <c r="R13" s="16" t="s">
        <v>100</v>
      </c>
      <c r="S13" s="21" t="s">
        <v>101</v>
      </c>
      <c r="T13" s="16" t="s">
        <v>102</v>
      </c>
      <c r="V13" s="16" t="s">
        <v>103</v>
      </c>
      <c r="W13" s="16" t="s">
        <v>104</v>
      </c>
      <c r="X13" s="16" t="s">
        <v>105</v>
      </c>
      <c r="Y13" s="16" t="s">
        <v>106</v>
      </c>
      <c r="Z13" s="16" t="s">
        <v>107</v>
      </c>
      <c r="AA13" s="21"/>
      <c r="BQ13" s="11" t="s">
        <v>108</v>
      </c>
      <c r="CU13" s="16" t="s">
        <v>94</v>
      </c>
      <c r="CV13" s="16" t="s">
        <v>94</v>
      </c>
    </row>
    <row r="14" spans="1:100" ht="15" customHeight="1">
      <c r="A14" s="16" t="str">
        <f t="shared" si="1"/>
        <v>A</v>
      </c>
      <c r="B14" s="16" t="str">
        <f>IF(IFERROR(HLOOKUP(B$2,$M$2:$BL14,$J14,FALSE),"")="","",IFERROR(HLOOKUP(B$2,$M$2:$BL14,$J14,FALSE),""))</f>
        <v/>
      </c>
      <c r="C14" s="16" t="str">
        <f>IF(IFERROR(HLOOKUP(C$2,$M$2:$BL14,$J14,FALSE),"")="","",IFERROR(HLOOKUP(C$2,$M$2:$BL14,$J14,FALSE),""))</f>
        <v/>
      </c>
      <c r="D14" s="16" t="str">
        <f>IF(IFERROR(HLOOKUP(D$2,$M$2:$BL14,$J14,FALSE),"")="","",IFERROR(HLOOKUP(D$2,$M$2:$BL14,$J14,FALSE),""))</f>
        <v/>
      </c>
      <c r="E14" s="16" t="str">
        <f>IF(IFERROR(HLOOKUP(E$2,$M$2:$BL14,$J14,FALSE),"")="","",IFERROR(HLOOKUP(E$2,$M$2:$BL14,$J14,FALSE),""))</f>
        <v/>
      </c>
      <c r="F14" s="16" t="str">
        <f>IF(IFERROR(HLOOKUP(F$2,$M$2:$BL14,$J14,FALSE),"")="","",IFERROR(HLOOKUP(F$2,$M$2:$BL14,$J14,FALSE),""))</f>
        <v/>
      </c>
      <c r="G14" s="16" t="str">
        <f>IF(IFERROR(HLOOKUP(G$2,$M$2:$BL14,$J14,FALSE),"")="","",IFERROR(HLOOKUP(G$2,$M$2:$BL14,$J14,FALSE),""))</f>
        <v/>
      </c>
      <c r="J14" s="17">
        <f t="shared" si="0"/>
        <v>13</v>
      </c>
      <c r="L14" s="16" t="s">
        <v>63</v>
      </c>
      <c r="M14" s="21" t="s">
        <v>109</v>
      </c>
      <c r="N14" s="27" t="s">
        <v>110</v>
      </c>
      <c r="O14" s="16" t="s">
        <v>111</v>
      </c>
      <c r="P14" s="16" t="s">
        <v>112</v>
      </c>
      <c r="Q14" s="16" t="s">
        <v>113</v>
      </c>
      <c r="R14" s="16" t="s">
        <v>114</v>
      </c>
      <c r="S14" s="21" t="s">
        <v>115</v>
      </c>
      <c r="T14" s="16" t="s">
        <v>116</v>
      </c>
      <c r="V14" s="16" t="s">
        <v>117</v>
      </c>
      <c r="W14" s="16" t="s">
        <v>118</v>
      </c>
      <c r="X14" s="16" t="s">
        <v>119</v>
      </c>
      <c r="Y14" s="16" t="s">
        <v>120</v>
      </c>
      <c r="Z14" s="16" t="s">
        <v>121</v>
      </c>
      <c r="AA14" s="21"/>
      <c r="CU14" s="16" t="s">
        <v>122</v>
      </c>
      <c r="CV14" s="16" t="s">
        <v>94</v>
      </c>
    </row>
    <row r="15" spans="1:100" ht="15" customHeight="1">
      <c r="A15" s="16" t="str">
        <f t="shared" si="1"/>
        <v>BBB</v>
      </c>
      <c r="B15" s="16" t="str">
        <f>IF(IFERROR(HLOOKUP(B$2,$M$2:$BL15,$J15,FALSE),"")="","",IFERROR(HLOOKUP(B$2,$M$2:$BL15,$J15,FALSE),""))</f>
        <v/>
      </c>
      <c r="C15" s="16" t="str">
        <f>IF(IFERROR(HLOOKUP(C$2,$M$2:$BL15,$J15,FALSE),"")="","",IFERROR(HLOOKUP(C$2,$M$2:$BL15,$J15,FALSE),""))</f>
        <v/>
      </c>
      <c r="D15" s="16" t="str">
        <f>IF(IFERROR(HLOOKUP(D$2,$M$2:$BL15,$J15,FALSE),"")="","",IFERROR(HLOOKUP(D$2,$M$2:$BL15,$J15,FALSE),""))</f>
        <v/>
      </c>
      <c r="E15" s="16" t="str">
        <f>IF(IFERROR(HLOOKUP(E$2,$M$2:$BL15,$J15,FALSE),"")="","",IFERROR(HLOOKUP(E$2,$M$2:$BL15,$J15,FALSE),""))</f>
        <v/>
      </c>
      <c r="F15" s="16" t="str">
        <f>IF(IFERROR(HLOOKUP(F$2,$M$2:$BL15,$J15,FALSE),"")="","",IFERROR(HLOOKUP(F$2,$M$2:$BL15,$J15,FALSE),""))</f>
        <v/>
      </c>
      <c r="G15" s="16" t="str">
        <f>IF(IFERROR(HLOOKUP(G$2,$M$2:$BL15,$J15,FALSE),"")="","",IFERROR(HLOOKUP(G$2,$M$2:$BL15,$J15,FALSE),""))</f>
        <v/>
      </c>
      <c r="J15" s="17">
        <f t="shared" si="0"/>
        <v>14</v>
      </c>
      <c r="L15" s="16" t="s">
        <v>72</v>
      </c>
      <c r="M15" s="21" t="s">
        <v>123</v>
      </c>
      <c r="N15" s="27" t="s">
        <v>124</v>
      </c>
      <c r="O15" s="16" t="s">
        <v>125</v>
      </c>
      <c r="P15" s="16" t="s">
        <v>126</v>
      </c>
      <c r="Q15" s="16" t="s">
        <v>127</v>
      </c>
      <c r="R15" s="16" t="s">
        <v>128</v>
      </c>
      <c r="S15" s="21" t="s">
        <v>129</v>
      </c>
      <c r="T15" s="16" t="s">
        <v>130</v>
      </c>
      <c r="V15" s="16" t="s">
        <v>131</v>
      </c>
      <c r="W15" s="16" t="s">
        <v>132</v>
      </c>
      <c r="X15" s="16" t="s">
        <v>133</v>
      </c>
      <c r="Y15" s="16" t="s">
        <v>120</v>
      </c>
      <c r="Z15" s="16" t="s">
        <v>134</v>
      </c>
      <c r="AA15" s="21"/>
      <c r="CU15" s="16" t="s">
        <v>135</v>
      </c>
      <c r="CV15" s="16" t="s">
        <v>136</v>
      </c>
    </row>
    <row r="16" spans="1:100" ht="15" customHeight="1">
      <c r="A16" s="16" t="str">
        <f t="shared" si="1"/>
        <v>BB</v>
      </c>
      <c r="B16" s="16" t="str">
        <f>IF(IFERROR(HLOOKUP(B$2,$M$2:$BL16,$J16,FALSE),"")="","",IFERROR(HLOOKUP(B$2,$M$2:$BL16,$J16,FALSE),""))</f>
        <v/>
      </c>
      <c r="C16" s="16" t="str">
        <f>IF(IFERROR(HLOOKUP(C$2,$M$2:$BL16,$J16,FALSE),"")="","",IFERROR(HLOOKUP(C$2,$M$2:$BL16,$J16,FALSE),""))</f>
        <v/>
      </c>
      <c r="D16" s="16" t="str">
        <f>IF(IFERROR(HLOOKUP(D$2,$M$2:$BL16,$J16,FALSE),"")="","",IFERROR(HLOOKUP(D$2,$M$2:$BL16,$J16,FALSE),""))</f>
        <v/>
      </c>
      <c r="E16" s="16" t="str">
        <f>IF(IFERROR(HLOOKUP(E$2,$M$2:$BL16,$J16,FALSE),"")="","",IFERROR(HLOOKUP(E$2,$M$2:$BL16,$J16,FALSE),""))</f>
        <v/>
      </c>
      <c r="F16" s="16" t="str">
        <f>IF(IFERROR(HLOOKUP(F$2,$M$2:$BL16,$J16,FALSE),"")="","",IFERROR(HLOOKUP(F$2,$M$2:$BL16,$J16,FALSE),""))</f>
        <v/>
      </c>
      <c r="G16" s="16" t="str">
        <f>IF(IFERROR(HLOOKUP(G$2,$M$2:$BL16,$J16,FALSE),"")="","",IFERROR(HLOOKUP(G$2,$M$2:$BL16,$J16,FALSE),""))</f>
        <v/>
      </c>
      <c r="J16" s="17">
        <f t="shared" si="0"/>
        <v>15</v>
      </c>
      <c r="L16" s="16" t="s">
        <v>94</v>
      </c>
      <c r="M16" s="21" t="s">
        <v>137</v>
      </c>
      <c r="N16" s="27" t="s">
        <v>138</v>
      </c>
      <c r="O16" s="16" t="s">
        <v>139</v>
      </c>
      <c r="P16" s="16" t="s">
        <v>140</v>
      </c>
      <c r="Q16" s="16" t="s">
        <v>141</v>
      </c>
      <c r="R16" s="16" t="s">
        <v>142</v>
      </c>
      <c r="S16" s="21" t="s">
        <v>143</v>
      </c>
      <c r="T16" s="16" t="s">
        <v>144</v>
      </c>
      <c r="V16" s="16" t="s">
        <v>145</v>
      </c>
      <c r="W16" s="16" t="s">
        <v>146</v>
      </c>
      <c r="X16" s="26" t="s">
        <v>147</v>
      </c>
      <c r="Y16" s="16" t="s">
        <v>120</v>
      </c>
      <c r="Z16" s="16" t="s">
        <v>148</v>
      </c>
      <c r="AA16" s="21"/>
      <c r="CU16" s="16" t="s">
        <v>136</v>
      </c>
      <c r="CV16" s="16" t="s">
        <v>136</v>
      </c>
    </row>
    <row r="17" spans="1:100" ht="15" customHeight="1">
      <c r="A17" s="16" t="str">
        <f t="shared" si="1"/>
        <v>B</v>
      </c>
      <c r="B17" s="16" t="str">
        <f>IF(IFERROR(HLOOKUP(B$2,$M$2:$BL17,$J17,FALSE),"")="","",IFERROR(HLOOKUP(B$2,$M$2:$BL17,$J17,FALSE),""))</f>
        <v/>
      </c>
      <c r="C17" s="16" t="str">
        <f>IF(IFERROR(HLOOKUP(C$2,$M$2:$BL17,$J17,FALSE),"")="","",IFERROR(HLOOKUP(C$2,$M$2:$BL17,$J17,FALSE),""))</f>
        <v/>
      </c>
      <c r="D17" s="16" t="str">
        <f>IF(IFERROR(HLOOKUP(D$2,$M$2:$BL17,$J17,FALSE),"")="","",IFERROR(HLOOKUP(D$2,$M$2:$BL17,$J17,FALSE),""))</f>
        <v/>
      </c>
      <c r="E17" s="16" t="str">
        <f>IF(IFERROR(HLOOKUP(E$2,$M$2:$BL17,$J17,FALSE),"")="","",IFERROR(HLOOKUP(E$2,$M$2:$BL17,$J17,FALSE),""))</f>
        <v/>
      </c>
      <c r="F17" s="16" t="str">
        <f>IF(IFERROR(HLOOKUP(F$2,$M$2:$BL17,$J17,FALSE),"")="","",IFERROR(HLOOKUP(F$2,$M$2:$BL17,$J17,FALSE),""))</f>
        <v/>
      </c>
      <c r="G17" s="16" t="str">
        <f>IF(IFERROR(HLOOKUP(G$2,$M$2:$BL17,$J17,FALSE),"")="","",IFERROR(HLOOKUP(G$2,$M$2:$BL17,$J17,FALSE),""))</f>
        <v/>
      </c>
      <c r="J17" s="17">
        <f t="shared" si="0"/>
        <v>16</v>
      </c>
      <c r="L17" s="16" t="s">
        <v>136</v>
      </c>
      <c r="M17" s="21" t="s">
        <v>149</v>
      </c>
      <c r="N17" s="27" t="s">
        <v>150</v>
      </c>
      <c r="O17" s="16" t="s">
        <v>151</v>
      </c>
      <c r="P17" s="16" t="s">
        <v>152</v>
      </c>
      <c r="Q17" s="16" t="s">
        <v>153</v>
      </c>
      <c r="R17" s="16" t="s">
        <v>154</v>
      </c>
      <c r="S17" s="21" t="s">
        <v>155</v>
      </c>
      <c r="T17" s="16" t="s">
        <v>156</v>
      </c>
      <c r="V17" s="16" t="s">
        <v>157</v>
      </c>
      <c r="W17" s="16" t="s">
        <v>158</v>
      </c>
      <c r="X17" s="16" t="s">
        <v>159</v>
      </c>
      <c r="Y17" s="16" t="s">
        <v>160</v>
      </c>
      <c r="Z17" s="16" t="s">
        <v>161</v>
      </c>
      <c r="AA17" s="21"/>
      <c r="CU17" s="16" t="s">
        <v>162</v>
      </c>
      <c r="CV17" s="16" t="s">
        <v>136</v>
      </c>
    </row>
    <row r="18" spans="1:100" ht="15" customHeight="1">
      <c r="A18" s="16" t="str">
        <f t="shared" si="1"/>
        <v>CCC and below</v>
      </c>
      <c r="B18" s="16" t="str">
        <f>IF(IFERROR(HLOOKUP(B$2,$M$2:$BL18,$J18,FALSE),"")="","",IFERROR(HLOOKUP(B$2,$M$2:$BL18,$J18,FALSE),""))</f>
        <v/>
      </c>
      <c r="C18" s="16" t="str">
        <f>IF(IFERROR(HLOOKUP(C$2,$M$2:$BL18,$J18,FALSE),"")="","",IFERROR(HLOOKUP(C$2,$M$2:$BL18,$J18,FALSE),""))</f>
        <v/>
      </c>
      <c r="D18" s="16" t="str">
        <f>IF(IFERROR(HLOOKUP(D$2,$M$2:$BL18,$J18,FALSE),"")="","",IFERROR(HLOOKUP(D$2,$M$2:$BL18,$J18,FALSE),""))</f>
        <v/>
      </c>
      <c r="E18" s="16" t="str">
        <f>IF(IFERROR(HLOOKUP(E$2,$M$2:$BL18,$J18,FALSE),"")="","",IFERROR(HLOOKUP(E$2,$M$2:$BL18,$J18,FALSE),""))</f>
        <v/>
      </c>
      <c r="F18" s="16" t="str">
        <f>IF(IFERROR(HLOOKUP(F$2,$M$2:$BL18,$J18,FALSE),"")="","",IFERROR(HLOOKUP(F$2,$M$2:$BL18,$J18,FALSE),""))</f>
        <v/>
      </c>
      <c r="G18" s="16" t="str">
        <f>IF(IFERROR(HLOOKUP(G$2,$M$2:$BL18,$J18,FALSE),"")="","",IFERROR(HLOOKUP(G$2,$M$2:$BL18,$J18,FALSE),""))</f>
        <v/>
      </c>
      <c r="J18" s="17">
        <f t="shared" si="0"/>
        <v>17</v>
      </c>
      <c r="L18" s="16" t="s">
        <v>163</v>
      </c>
      <c r="M18" s="21" t="s">
        <v>164</v>
      </c>
      <c r="N18" s="27" t="s">
        <v>165</v>
      </c>
      <c r="O18" s="16" t="s">
        <v>166</v>
      </c>
      <c r="P18" s="16" t="s">
        <v>167</v>
      </c>
      <c r="Q18" s="16" t="s">
        <v>168</v>
      </c>
      <c r="R18" s="16" t="s">
        <v>169</v>
      </c>
      <c r="S18" s="21" t="s">
        <v>170</v>
      </c>
      <c r="T18" s="16" t="s">
        <v>103</v>
      </c>
      <c r="V18" s="16" t="s">
        <v>103</v>
      </c>
      <c r="W18" s="16" t="s">
        <v>171</v>
      </c>
      <c r="X18" s="16" t="s">
        <v>103</v>
      </c>
      <c r="Y18" s="16" t="s">
        <v>160</v>
      </c>
      <c r="Z18" s="16" t="s">
        <v>103</v>
      </c>
      <c r="AA18" s="21"/>
      <c r="CU18" s="16" t="s">
        <v>172</v>
      </c>
      <c r="CV18" s="16" t="s">
        <v>163</v>
      </c>
    </row>
    <row r="19" spans="1:100" s="19" customFormat="1" ht="15" customHeight="1">
      <c r="A19" s="22" t="str">
        <f>+K19</f>
        <v>Factor 2</v>
      </c>
      <c r="B19" s="22" t="str">
        <f>IF(IFERROR(HLOOKUP(B$2,$M$2:$BL19,$J19,FALSE),"")="","",IFERROR(HLOOKUP(B$2,$M$2:$BL19,$J19,FALSE),""))</f>
        <v/>
      </c>
      <c r="C19" s="22" t="str">
        <f>IF(IFERROR(HLOOKUP(C$2,$M$2:$BL19,$J19,FALSE),"")="","",IFERROR(HLOOKUP(C$2,$M$2:$BL19,$J19,FALSE),""))</f>
        <v/>
      </c>
      <c r="D19" s="22" t="str">
        <f>IF(IFERROR(HLOOKUP(D$2,$M$2:$BL19,$J19,FALSE),"")="","",IFERROR(HLOOKUP(D$2,$M$2:$BL19,$J19,FALSE),""))</f>
        <v/>
      </c>
      <c r="E19" s="22" t="str">
        <f>IF(IFERROR(HLOOKUP(E$2,$M$2:$BL19,$J19,FALSE),"")="","",IFERROR(HLOOKUP(E$2,$M$2:$BL19,$J19,FALSE),""))</f>
        <v/>
      </c>
      <c r="F19" s="22" t="str">
        <f>IF(IFERROR(HLOOKUP(F$2,$M$2:$BL19,$J19,FALSE),"")="","",IFERROR(HLOOKUP(F$2,$M$2:$BL19,$J19,FALSE),""))</f>
        <v/>
      </c>
      <c r="G19" s="22" t="str">
        <f>IF(IFERROR(HLOOKUP(G$2,$M$2:$BL19,$J19,FALSE),"")="","",IFERROR(HLOOKUP(G$2,$M$2:$BL19,$J19,FALSE),""))</f>
        <v/>
      </c>
      <c r="H19" s="22"/>
      <c r="J19" s="20">
        <f t="shared" si="0"/>
        <v>18</v>
      </c>
      <c r="K19" s="19" t="s">
        <v>173</v>
      </c>
      <c r="M19" s="19" t="s">
        <v>174</v>
      </c>
      <c r="N19" s="19" t="s">
        <v>175</v>
      </c>
      <c r="O19" s="19" t="s">
        <v>176</v>
      </c>
      <c r="P19" s="19" t="s">
        <v>177</v>
      </c>
      <c r="Q19" s="19" t="s">
        <v>85</v>
      </c>
      <c r="R19" s="19" t="s">
        <v>177</v>
      </c>
      <c r="S19" s="19" t="s">
        <v>178</v>
      </c>
      <c r="T19" s="19" t="s">
        <v>179</v>
      </c>
      <c r="V19" s="19" t="s">
        <v>85</v>
      </c>
      <c r="W19" s="19" t="s">
        <v>180</v>
      </c>
      <c r="Y19" s="19" t="s">
        <v>76</v>
      </c>
      <c r="Z19" s="19" t="s">
        <v>181</v>
      </c>
      <c r="CU19" s="19" t="s">
        <v>182</v>
      </c>
      <c r="CV19" s="19" t="s">
        <v>163</v>
      </c>
    </row>
    <row r="20" spans="1:100" ht="15" customHeight="1">
      <c r="A20" s="16" t="str">
        <f t="shared" ref="A20:A25" si="2">+L20</f>
        <v>AA and above</v>
      </c>
      <c r="B20" s="16" t="str">
        <f>IF(IFERROR(HLOOKUP(B$2,$M$2:$BL20,$J20,FALSE),"")="","",IFERROR(HLOOKUP(B$2,$M$2:$BL20,$J20,FALSE),""))</f>
        <v/>
      </c>
      <c r="C20" s="16" t="str">
        <f>IF(IFERROR(HLOOKUP(C$2,$M$2:$BL20,$J20,FALSE),"")="","",IFERROR(HLOOKUP(C$2,$M$2:$BL20,$J20,FALSE),""))</f>
        <v/>
      </c>
      <c r="D20" s="16" t="str">
        <f>IF(IFERROR(HLOOKUP(D$2,$M$2:$BL20,$J20,FALSE),"")="","",IFERROR(HLOOKUP(D$2,$M$2:$BL20,$J20,FALSE),""))</f>
        <v/>
      </c>
      <c r="E20" s="16" t="str">
        <f>IF(IFERROR(HLOOKUP(E$2,$M$2:$BL20,$J20,FALSE),"")="","",IFERROR(HLOOKUP(E$2,$M$2:$BL20,$J20,FALSE),""))</f>
        <v/>
      </c>
      <c r="F20" s="16" t="str">
        <f>IF(IFERROR(HLOOKUP(F$2,$M$2:$BL20,$J20,FALSE),"")="","",IFERROR(HLOOKUP(F$2,$M$2:$BL20,$J20,FALSE),""))</f>
        <v/>
      </c>
      <c r="G20" s="16" t="str">
        <f>IF(IFERROR(HLOOKUP(G$2,$M$2:$BL20,$J20,FALSE),"")="","",IFERROR(HLOOKUP(G$2,$M$2:$BL20,$J20,FALSE),""))</f>
        <v/>
      </c>
      <c r="J20" s="17">
        <f t="shared" si="0"/>
        <v>19</v>
      </c>
      <c r="L20" s="16" t="s">
        <v>30</v>
      </c>
      <c r="M20" s="21" t="s">
        <v>183</v>
      </c>
      <c r="N20" s="16" t="s">
        <v>184</v>
      </c>
      <c r="O20" s="16" t="s">
        <v>185</v>
      </c>
      <c r="P20" s="16" t="s">
        <v>186</v>
      </c>
      <c r="Q20" s="16" t="s">
        <v>187</v>
      </c>
      <c r="R20" s="16" t="s">
        <v>188</v>
      </c>
      <c r="S20" s="21" t="s">
        <v>189</v>
      </c>
      <c r="T20" s="16" t="s">
        <v>190</v>
      </c>
      <c r="V20" s="16" t="s">
        <v>103</v>
      </c>
      <c r="W20" s="16" t="s">
        <v>191</v>
      </c>
      <c r="Y20" s="16" t="s">
        <v>192</v>
      </c>
      <c r="Z20" s="16" t="s">
        <v>103</v>
      </c>
      <c r="AA20" s="21"/>
      <c r="CU20" s="16" t="s">
        <v>193</v>
      </c>
      <c r="CV20" s="16" t="s">
        <v>163</v>
      </c>
    </row>
    <row r="21" spans="1:100" ht="15" customHeight="1">
      <c r="A21" s="16" t="str">
        <f t="shared" si="2"/>
        <v>A</v>
      </c>
      <c r="B21" s="16" t="str">
        <f>IF(IFERROR(HLOOKUP(B$2,$M$2:$BL21,$J21,FALSE),"")="","",IFERROR(HLOOKUP(B$2,$M$2:$BL21,$J21,FALSE),""))</f>
        <v/>
      </c>
      <c r="C21" s="16" t="str">
        <f>IF(IFERROR(HLOOKUP(C$2,$M$2:$BL21,$J21,FALSE),"")="","",IFERROR(HLOOKUP(C$2,$M$2:$BL21,$J21,FALSE),""))</f>
        <v/>
      </c>
      <c r="D21" s="16" t="str">
        <f>IF(IFERROR(HLOOKUP(D$2,$M$2:$BL21,$J21,FALSE),"")="","",IFERROR(HLOOKUP(D$2,$M$2:$BL21,$J21,FALSE),""))</f>
        <v/>
      </c>
      <c r="E21" s="16" t="str">
        <f>IF(IFERROR(HLOOKUP(E$2,$M$2:$BL21,$J21,FALSE),"")="","",IFERROR(HLOOKUP(E$2,$M$2:$BL21,$J21,FALSE),""))</f>
        <v/>
      </c>
      <c r="F21" s="16" t="str">
        <f>IF(IFERROR(HLOOKUP(F$2,$M$2:$BL21,$J21,FALSE),"")="","",IFERROR(HLOOKUP(F$2,$M$2:$BL21,$J21,FALSE),""))</f>
        <v/>
      </c>
      <c r="G21" s="16" t="str">
        <f>IF(IFERROR(HLOOKUP(G$2,$M$2:$BL21,$J21,FALSE),"")="","",IFERROR(HLOOKUP(G$2,$M$2:$BL21,$J21,FALSE),""))</f>
        <v/>
      </c>
      <c r="J21" s="17">
        <f t="shared" si="0"/>
        <v>20</v>
      </c>
      <c r="L21" s="16" t="s">
        <v>63</v>
      </c>
      <c r="M21" s="21" t="s">
        <v>194</v>
      </c>
      <c r="N21" s="16" t="s">
        <v>184</v>
      </c>
      <c r="O21" s="16" t="s">
        <v>195</v>
      </c>
      <c r="P21" s="16" t="s">
        <v>196</v>
      </c>
      <c r="Q21" s="16" t="s">
        <v>187</v>
      </c>
      <c r="R21" s="16" t="s">
        <v>197</v>
      </c>
      <c r="S21" s="21" t="s">
        <v>198</v>
      </c>
      <c r="T21" s="16" t="s">
        <v>199</v>
      </c>
      <c r="V21" s="16" t="s">
        <v>200</v>
      </c>
      <c r="W21" s="16" t="s">
        <v>201</v>
      </c>
      <c r="Y21" s="16" t="s">
        <v>202</v>
      </c>
      <c r="Z21" s="16" t="s">
        <v>103</v>
      </c>
      <c r="AA21" s="21"/>
      <c r="CU21" s="16" t="s">
        <v>203</v>
      </c>
      <c r="CV21" s="16" t="s">
        <v>163</v>
      </c>
    </row>
    <row r="22" spans="1:100" ht="15" customHeight="1">
      <c r="A22" s="16" t="str">
        <f t="shared" si="2"/>
        <v>BBB</v>
      </c>
      <c r="B22" s="16" t="str">
        <f>IF(IFERROR(HLOOKUP(B$2,$M$2:$BL22,$J22,FALSE),"")="","",IFERROR(HLOOKUP(B$2,$M$2:$BL22,$J22,FALSE),""))</f>
        <v/>
      </c>
      <c r="C22" s="16" t="str">
        <f>IF(IFERROR(HLOOKUP(C$2,$M$2:$BL22,$J22,FALSE),"")="","",IFERROR(HLOOKUP(C$2,$M$2:$BL22,$J22,FALSE),""))</f>
        <v/>
      </c>
      <c r="D22" s="16" t="str">
        <f>IF(IFERROR(HLOOKUP(D$2,$M$2:$BL22,$J22,FALSE),"")="","",IFERROR(HLOOKUP(D$2,$M$2:$BL22,$J22,FALSE),""))</f>
        <v/>
      </c>
      <c r="E22" s="16" t="str">
        <f>IF(IFERROR(HLOOKUP(E$2,$M$2:$BL22,$J22,FALSE),"")="","",IFERROR(HLOOKUP(E$2,$M$2:$BL22,$J22,FALSE),""))</f>
        <v/>
      </c>
      <c r="F22" s="16" t="str">
        <f>IF(IFERROR(HLOOKUP(F$2,$M$2:$BL22,$J22,FALSE),"")="","",IFERROR(HLOOKUP(F$2,$M$2:$BL22,$J22,FALSE),""))</f>
        <v/>
      </c>
      <c r="G22" s="16" t="str">
        <f>IF(IFERROR(HLOOKUP(G$2,$M$2:$BL22,$J22,FALSE),"")="","",IFERROR(HLOOKUP(G$2,$M$2:$BL22,$J22,FALSE),""))</f>
        <v/>
      </c>
      <c r="J22" s="17">
        <f t="shared" si="0"/>
        <v>21</v>
      </c>
      <c r="L22" s="16" t="s">
        <v>72</v>
      </c>
      <c r="M22" s="21" t="s">
        <v>194</v>
      </c>
      <c r="N22" s="16" t="s">
        <v>204</v>
      </c>
      <c r="O22" s="16" t="s">
        <v>205</v>
      </c>
      <c r="P22" s="16" t="s">
        <v>206</v>
      </c>
      <c r="Q22" s="16" t="s">
        <v>207</v>
      </c>
      <c r="R22" s="16" t="s">
        <v>208</v>
      </c>
      <c r="S22" s="21" t="s">
        <v>209</v>
      </c>
      <c r="T22" s="16" t="s">
        <v>210</v>
      </c>
      <c r="V22" s="16" t="s">
        <v>211</v>
      </c>
      <c r="W22" s="16" t="s">
        <v>155</v>
      </c>
      <c r="Y22" s="16" t="s">
        <v>202</v>
      </c>
      <c r="Z22" s="16" t="s">
        <v>212</v>
      </c>
      <c r="AA22" s="21"/>
      <c r="CU22" s="16" t="s">
        <v>213</v>
      </c>
      <c r="CV22" s="16" t="s">
        <v>163</v>
      </c>
    </row>
    <row r="23" spans="1:100" ht="15" customHeight="1">
      <c r="A23" s="16" t="str">
        <f t="shared" si="2"/>
        <v>BB</v>
      </c>
      <c r="B23" s="16" t="str">
        <f>IF(IFERROR(HLOOKUP(B$2,$M$2:$BL23,$J23,FALSE),"")="","",IFERROR(HLOOKUP(B$2,$M$2:$BL23,$J23,FALSE),""))</f>
        <v/>
      </c>
      <c r="C23" s="16" t="str">
        <f>IF(IFERROR(HLOOKUP(C$2,$M$2:$BL23,$J23,FALSE),"")="","",IFERROR(HLOOKUP(C$2,$M$2:$BL23,$J23,FALSE),""))</f>
        <v/>
      </c>
      <c r="D23" s="16" t="str">
        <f>IF(IFERROR(HLOOKUP(D$2,$M$2:$BL23,$J23,FALSE),"")="","",IFERROR(HLOOKUP(D$2,$M$2:$BL23,$J23,FALSE),""))</f>
        <v/>
      </c>
      <c r="E23" s="16" t="str">
        <f>IF(IFERROR(HLOOKUP(E$2,$M$2:$BL23,$J23,FALSE),"")="","",IFERROR(HLOOKUP(E$2,$M$2:$BL23,$J23,FALSE),""))</f>
        <v/>
      </c>
      <c r="F23" s="16" t="str">
        <f>IF(IFERROR(HLOOKUP(F$2,$M$2:$BL23,$J23,FALSE),"")="","",IFERROR(HLOOKUP(F$2,$M$2:$BL23,$J23,FALSE),""))</f>
        <v/>
      </c>
      <c r="G23" s="16" t="str">
        <f>IF(IFERROR(HLOOKUP(G$2,$M$2:$BL23,$J23,FALSE),"")="","",IFERROR(HLOOKUP(G$2,$M$2:$BL23,$J23,FALSE),""))</f>
        <v/>
      </c>
      <c r="J23" s="17">
        <f t="shared" si="0"/>
        <v>22</v>
      </c>
      <c r="L23" s="16" t="s">
        <v>94</v>
      </c>
      <c r="M23" s="21" t="s">
        <v>214</v>
      </c>
      <c r="N23" s="16" t="s">
        <v>215</v>
      </c>
      <c r="O23" s="16" t="s">
        <v>216</v>
      </c>
      <c r="P23" s="16" t="s">
        <v>217</v>
      </c>
      <c r="Q23" s="16" t="s">
        <v>218</v>
      </c>
      <c r="R23" s="16" t="s">
        <v>219</v>
      </c>
      <c r="S23" s="21" t="s">
        <v>220</v>
      </c>
      <c r="T23" s="16" t="s">
        <v>221</v>
      </c>
      <c r="V23" s="16" t="s">
        <v>222</v>
      </c>
      <c r="W23" s="16" t="s">
        <v>223</v>
      </c>
      <c r="Y23" s="16" t="s">
        <v>224</v>
      </c>
      <c r="Z23" s="16" t="s">
        <v>134</v>
      </c>
      <c r="AA23" s="21"/>
    </row>
    <row r="24" spans="1:100" ht="15" customHeight="1">
      <c r="A24" s="16" t="str">
        <f t="shared" si="2"/>
        <v>B</v>
      </c>
      <c r="B24" s="16" t="str">
        <f>IF(IFERROR(HLOOKUP(B$2,$M$2:$BL24,$J24,FALSE),"")="","",IFERROR(HLOOKUP(B$2,$M$2:$BL24,$J24,FALSE),""))</f>
        <v/>
      </c>
      <c r="C24" s="16" t="str">
        <f>IF(IFERROR(HLOOKUP(C$2,$M$2:$BL24,$J24,FALSE),"")="","",IFERROR(HLOOKUP(C$2,$M$2:$BL24,$J24,FALSE),""))</f>
        <v/>
      </c>
      <c r="D24" s="16" t="str">
        <f>IF(IFERROR(HLOOKUP(D$2,$M$2:$BL24,$J24,FALSE),"")="","",IFERROR(HLOOKUP(D$2,$M$2:$BL24,$J24,FALSE),""))</f>
        <v/>
      </c>
      <c r="E24" s="16" t="str">
        <f>IF(IFERROR(HLOOKUP(E$2,$M$2:$BL24,$J24,FALSE),"")="","",IFERROR(HLOOKUP(E$2,$M$2:$BL24,$J24,FALSE),""))</f>
        <v/>
      </c>
      <c r="F24" s="16" t="str">
        <f>IF(IFERROR(HLOOKUP(F$2,$M$2:$BL24,$J24,FALSE),"")="","",IFERROR(HLOOKUP(F$2,$M$2:$BL24,$J24,FALSE),""))</f>
        <v/>
      </c>
      <c r="G24" s="16" t="str">
        <f>IF(IFERROR(HLOOKUP(G$2,$M$2:$BL24,$J24,FALSE),"")="","",IFERROR(HLOOKUP(G$2,$M$2:$BL24,$J24,FALSE),""))</f>
        <v/>
      </c>
      <c r="J24" s="17">
        <f t="shared" si="0"/>
        <v>23</v>
      </c>
      <c r="L24" s="16" t="s">
        <v>136</v>
      </c>
      <c r="M24" s="21" t="s">
        <v>214</v>
      </c>
      <c r="N24" s="16" t="s">
        <v>225</v>
      </c>
      <c r="O24" s="16" t="s">
        <v>226</v>
      </c>
      <c r="P24" s="16" t="s">
        <v>227</v>
      </c>
      <c r="Q24" s="16" t="s">
        <v>228</v>
      </c>
      <c r="R24" s="16" t="s">
        <v>229</v>
      </c>
      <c r="S24" s="21" t="s">
        <v>230</v>
      </c>
      <c r="T24" s="16" t="s">
        <v>231</v>
      </c>
      <c r="V24" s="16" t="s">
        <v>232</v>
      </c>
      <c r="W24" s="16" t="s">
        <v>233</v>
      </c>
      <c r="Y24" s="16" t="s">
        <v>224</v>
      </c>
      <c r="Z24" s="16" t="s">
        <v>148</v>
      </c>
      <c r="AA24" s="21"/>
    </row>
    <row r="25" spans="1:100" ht="15" customHeight="1">
      <c r="A25" s="16" t="str">
        <f t="shared" si="2"/>
        <v>CCC and below</v>
      </c>
      <c r="B25" s="16" t="str">
        <f>IF(IFERROR(HLOOKUP(B$2,$M$2:$BL25,$J25,FALSE),"")="","",IFERROR(HLOOKUP(B$2,$M$2:$BL25,$J25,FALSE),""))</f>
        <v/>
      </c>
      <c r="C25" s="16" t="str">
        <f>IF(IFERROR(HLOOKUP(C$2,$M$2:$BL25,$J25,FALSE),"")="","",IFERROR(HLOOKUP(C$2,$M$2:$BL25,$J25,FALSE),""))</f>
        <v/>
      </c>
      <c r="D25" s="16" t="str">
        <f>IF(IFERROR(HLOOKUP(D$2,$M$2:$BL25,$J25,FALSE),"")="","",IFERROR(HLOOKUP(D$2,$M$2:$BL25,$J25,FALSE),""))</f>
        <v/>
      </c>
      <c r="E25" s="16" t="str">
        <f>IF(IFERROR(HLOOKUP(E$2,$M$2:$BL25,$J25,FALSE),"")="","",IFERROR(HLOOKUP(E$2,$M$2:$BL25,$J25,FALSE),""))</f>
        <v/>
      </c>
      <c r="F25" s="16" t="str">
        <f>IF(IFERROR(HLOOKUP(F$2,$M$2:$BL25,$J25,FALSE),"")="","",IFERROR(HLOOKUP(F$2,$M$2:$BL25,$J25,FALSE),""))</f>
        <v/>
      </c>
      <c r="G25" s="16" t="str">
        <f>IF(IFERROR(HLOOKUP(G$2,$M$2:$BL25,$J25,FALSE),"")="","",IFERROR(HLOOKUP(G$2,$M$2:$BL25,$J25,FALSE),""))</f>
        <v/>
      </c>
      <c r="J25" s="17">
        <f t="shared" si="0"/>
        <v>24</v>
      </c>
      <c r="L25" s="16" t="s">
        <v>163</v>
      </c>
      <c r="M25" s="21" t="s">
        <v>234</v>
      </c>
      <c r="N25" s="16" t="s">
        <v>225</v>
      </c>
      <c r="O25" s="16" t="s">
        <v>235</v>
      </c>
      <c r="P25" s="16" t="s">
        <v>227</v>
      </c>
      <c r="Q25" s="16" t="s">
        <v>228</v>
      </c>
      <c r="R25" s="16" t="s">
        <v>236</v>
      </c>
      <c r="S25" s="21" t="s">
        <v>237</v>
      </c>
      <c r="T25" s="16" t="s">
        <v>103</v>
      </c>
      <c r="V25" s="16" t="s">
        <v>103</v>
      </c>
      <c r="W25" s="16" t="s">
        <v>238</v>
      </c>
      <c r="Y25" s="16" t="s">
        <v>224</v>
      </c>
      <c r="Z25" s="16" t="s">
        <v>161</v>
      </c>
      <c r="AA25" s="21"/>
    </row>
    <row r="26" spans="1:100" s="19" customFormat="1" ht="15" customHeight="1">
      <c r="A26" s="22" t="str">
        <f>+K26</f>
        <v>Factor 3</v>
      </c>
      <c r="B26" s="22" t="str">
        <f>IF(IFERROR(HLOOKUP(B$2,$M$2:$BL26,$J26,FALSE),"")="","",IFERROR(HLOOKUP(B$2,$M$2:$BL26,$J26,FALSE),""))</f>
        <v/>
      </c>
      <c r="C26" s="22" t="str">
        <f>IF(IFERROR(HLOOKUP(C$2,$M$2:$BL26,$J26,FALSE),"")="","",IFERROR(HLOOKUP(C$2,$M$2:$BL26,$J26,FALSE),""))</f>
        <v/>
      </c>
      <c r="D26" s="22" t="str">
        <f>IF(IFERROR(HLOOKUP(D$2,$M$2:$BL26,$J26,FALSE),"")="","",IFERROR(HLOOKUP(D$2,$M$2:$BL26,$J26,FALSE),""))</f>
        <v/>
      </c>
      <c r="E26" s="22" t="str">
        <f>IF(IFERROR(HLOOKUP(E$2,$M$2:$BL26,$J26,FALSE),"")="","",IFERROR(HLOOKUP(E$2,$M$2:$BL26,$J26,FALSE),""))</f>
        <v/>
      </c>
      <c r="F26" s="22" t="str">
        <f>IF(IFERROR(HLOOKUP(F$2,$M$2:$BL26,$J26,FALSE),"")="","",IFERROR(HLOOKUP(F$2,$M$2:$BL26,$J26,FALSE),""))</f>
        <v/>
      </c>
      <c r="G26" s="22" t="str">
        <f>IF(IFERROR(HLOOKUP(G$2,$M$2:$BL26,$J26,FALSE),"")="","",IFERROR(HLOOKUP(G$2,$M$2:$BL26,$J26,FALSE),""))</f>
        <v/>
      </c>
      <c r="H26" s="22"/>
      <c r="J26" s="20">
        <f t="shared" si="0"/>
        <v>25</v>
      </c>
      <c r="K26" s="19" t="s">
        <v>239</v>
      </c>
      <c r="N26" s="19" t="s">
        <v>240</v>
      </c>
      <c r="R26" s="19" t="s">
        <v>241</v>
      </c>
      <c r="S26" s="19" t="s">
        <v>242</v>
      </c>
      <c r="T26" s="19" t="s">
        <v>243</v>
      </c>
      <c r="V26" s="19" t="s">
        <v>244</v>
      </c>
      <c r="W26" s="19" t="s">
        <v>245</v>
      </c>
      <c r="Z26" s="19" t="s">
        <v>246</v>
      </c>
    </row>
    <row r="27" spans="1:100" ht="15" customHeight="1">
      <c r="A27" s="16" t="str">
        <f t="shared" ref="A27:A32" si="3">+L27</f>
        <v>AA and above</v>
      </c>
      <c r="B27" s="16" t="str">
        <f>IF(IFERROR(HLOOKUP(B$2,$M$2:$BL27,$J27,FALSE),"")="","",IFERROR(HLOOKUP(B$2,$M$2:$BL27,$J27,FALSE),""))</f>
        <v/>
      </c>
      <c r="C27" s="16" t="str">
        <f>IF(IFERROR(HLOOKUP(C$2,$M$2:$BL27,$J27,FALSE),"")="","",IFERROR(HLOOKUP(C$2,$M$2:$BL27,$J27,FALSE),""))</f>
        <v/>
      </c>
      <c r="D27" s="16" t="str">
        <f>IF(IFERROR(HLOOKUP(D$2,$M$2:$BL27,$J27,FALSE),"")="","",IFERROR(HLOOKUP(D$2,$M$2:$BL27,$J27,FALSE),""))</f>
        <v/>
      </c>
      <c r="E27" s="16" t="str">
        <f>IF(IFERROR(HLOOKUP(E$2,$M$2:$BL27,$J27,FALSE),"")="","",IFERROR(HLOOKUP(E$2,$M$2:$BL27,$J27,FALSE),""))</f>
        <v/>
      </c>
      <c r="F27" s="16" t="str">
        <f>IF(IFERROR(HLOOKUP(F$2,$M$2:$BL27,$J27,FALSE),"")="","",IFERROR(HLOOKUP(F$2,$M$2:$BL27,$J27,FALSE),""))</f>
        <v/>
      </c>
      <c r="G27" s="16" t="str">
        <f>IF(IFERROR(HLOOKUP(G$2,$M$2:$BL27,$J27,FALSE),"")="","",IFERROR(HLOOKUP(G$2,$M$2:$BL27,$J27,FALSE),""))</f>
        <v/>
      </c>
      <c r="J27" s="17">
        <f t="shared" si="0"/>
        <v>26</v>
      </c>
      <c r="L27" s="16" t="s">
        <v>30</v>
      </c>
      <c r="M27" s="21"/>
      <c r="N27" s="27" t="s">
        <v>247</v>
      </c>
      <c r="R27" s="16" t="s">
        <v>248</v>
      </c>
      <c r="S27" s="21" t="s">
        <v>249</v>
      </c>
      <c r="T27" s="26" t="s">
        <v>250</v>
      </c>
      <c r="V27" s="16" t="s">
        <v>103</v>
      </c>
      <c r="W27" s="16" t="s">
        <v>251</v>
      </c>
      <c r="Z27" s="16" t="s">
        <v>103</v>
      </c>
      <c r="AA27" s="21"/>
    </row>
    <row r="28" spans="1:100" ht="15" customHeight="1">
      <c r="A28" s="16" t="str">
        <f t="shared" si="3"/>
        <v>A</v>
      </c>
      <c r="B28" s="16" t="str">
        <f>IF(IFERROR(HLOOKUP(B$2,$M$2:$BL28,$J28,FALSE),"")="","",IFERROR(HLOOKUP(B$2,$M$2:$BL28,$J28,FALSE),""))</f>
        <v/>
      </c>
      <c r="C28" s="16" t="str">
        <f>IF(IFERROR(HLOOKUP(C$2,$M$2:$BL28,$J28,FALSE),"")="","",IFERROR(HLOOKUP(C$2,$M$2:$BL28,$J28,FALSE),""))</f>
        <v/>
      </c>
      <c r="D28" s="16" t="str">
        <f>IF(IFERROR(HLOOKUP(D$2,$M$2:$BL28,$J28,FALSE),"")="","",IFERROR(HLOOKUP(D$2,$M$2:$BL28,$J28,FALSE),""))</f>
        <v/>
      </c>
      <c r="E28" s="16" t="str">
        <f>IF(IFERROR(HLOOKUP(E$2,$M$2:$BL28,$J28,FALSE),"")="","",IFERROR(HLOOKUP(E$2,$M$2:$BL28,$J28,FALSE),""))</f>
        <v/>
      </c>
      <c r="F28" s="16" t="str">
        <f>IF(IFERROR(HLOOKUP(F$2,$M$2:$BL28,$J28,FALSE),"")="","",IFERROR(HLOOKUP(F$2,$M$2:$BL28,$J28,FALSE),""))</f>
        <v/>
      </c>
      <c r="G28" s="16" t="str">
        <f>IF(IFERROR(HLOOKUP(G$2,$M$2:$BL28,$J28,FALSE),"")="","",IFERROR(HLOOKUP(G$2,$M$2:$BL28,$J28,FALSE),""))</f>
        <v/>
      </c>
      <c r="J28" s="17">
        <f t="shared" si="0"/>
        <v>27</v>
      </c>
      <c r="L28" s="16" t="s">
        <v>63</v>
      </c>
      <c r="M28" s="21"/>
      <c r="N28" s="27" t="s">
        <v>252</v>
      </c>
      <c r="R28" s="16" t="s">
        <v>248</v>
      </c>
      <c r="S28" s="21" t="s">
        <v>253</v>
      </c>
      <c r="T28" s="16" t="s">
        <v>134</v>
      </c>
      <c r="V28" s="16" t="s">
        <v>254</v>
      </c>
      <c r="W28" s="16" t="s">
        <v>255</v>
      </c>
      <c r="Z28" s="16" t="s">
        <v>103</v>
      </c>
      <c r="AA28" s="21"/>
    </row>
    <row r="29" spans="1:100" ht="15" customHeight="1">
      <c r="A29" s="16" t="str">
        <f t="shared" si="3"/>
        <v>BBB</v>
      </c>
      <c r="B29" s="16" t="str">
        <f>IF(IFERROR(HLOOKUP(B$2,$M$2:$BL29,$J29,FALSE),"")="","",IFERROR(HLOOKUP(B$2,$M$2:$BL29,$J29,FALSE),""))</f>
        <v/>
      </c>
      <c r="C29" s="16" t="str">
        <f>IF(IFERROR(HLOOKUP(C$2,$M$2:$BL29,$J29,FALSE),"")="","",IFERROR(HLOOKUP(C$2,$M$2:$BL29,$J29,FALSE),""))</f>
        <v/>
      </c>
      <c r="D29" s="16" t="str">
        <f>IF(IFERROR(HLOOKUP(D$2,$M$2:$BL29,$J29,FALSE),"")="","",IFERROR(HLOOKUP(D$2,$M$2:$BL29,$J29,FALSE),""))</f>
        <v/>
      </c>
      <c r="E29" s="16" t="str">
        <f>IF(IFERROR(HLOOKUP(E$2,$M$2:$BL29,$J29,FALSE),"")="","",IFERROR(HLOOKUP(E$2,$M$2:$BL29,$J29,FALSE),""))</f>
        <v/>
      </c>
      <c r="F29" s="16" t="str">
        <f>IF(IFERROR(HLOOKUP(F$2,$M$2:$BL29,$J29,FALSE),"")="","",IFERROR(HLOOKUP(F$2,$M$2:$BL29,$J29,FALSE),""))</f>
        <v/>
      </c>
      <c r="G29" s="16" t="str">
        <f>IF(IFERROR(HLOOKUP(G$2,$M$2:$BL29,$J29,FALSE),"")="","",IFERROR(HLOOKUP(G$2,$M$2:$BL29,$J29,FALSE),""))</f>
        <v/>
      </c>
      <c r="J29" s="17">
        <f t="shared" si="0"/>
        <v>28</v>
      </c>
      <c r="L29" s="16" t="s">
        <v>72</v>
      </c>
      <c r="M29" s="21"/>
      <c r="N29" s="27" t="s">
        <v>256</v>
      </c>
      <c r="R29" s="16" t="s">
        <v>257</v>
      </c>
      <c r="S29" s="21" t="s">
        <v>258</v>
      </c>
      <c r="T29" s="16" t="s">
        <v>259</v>
      </c>
      <c r="V29" s="16" t="s">
        <v>254</v>
      </c>
      <c r="W29" s="16" t="s">
        <v>260</v>
      </c>
      <c r="Z29" s="16" t="s">
        <v>103</v>
      </c>
      <c r="AA29" s="21"/>
    </row>
    <row r="30" spans="1:100" ht="15" customHeight="1">
      <c r="A30" s="16" t="str">
        <f t="shared" si="3"/>
        <v>BB</v>
      </c>
      <c r="B30" s="16" t="str">
        <f>IF(IFERROR(HLOOKUP(B$2,$M$2:$BL30,$J30,FALSE),"")="","",IFERROR(HLOOKUP(B$2,$M$2:$BL30,$J30,FALSE),""))</f>
        <v/>
      </c>
      <c r="C30" s="16" t="str">
        <f>IF(IFERROR(HLOOKUP(C$2,$M$2:$BL30,$J30,FALSE),"")="","",IFERROR(HLOOKUP(C$2,$M$2:$BL30,$J30,FALSE),""))</f>
        <v/>
      </c>
      <c r="D30" s="16" t="str">
        <f>IF(IFERROR(HLOOKUP(D$2,$M$2:$BL30,$J30,FALSE),"")="","",IFERROR(HLOOKUP(D$2,$M$2:$BL30,$J30,FALSE),""))</f>
        <v/>
      </c>
      <c r="E30" s="16" t="str">
        <f>IF(IFERROR(HLOOKUP(E$2,$M$2:$BL30,$J30,FALSE),"")="","",IFERROR(HLOOKUP(E$2,$M$2:$BL30,$J30,FALSE),""))</f>
        <v/>
      </c>
      <c r="F30" s="16" t="str">
        <f>IF(IFERROR(HLOOKUP(F$2,$M$2:$BL30,$J30,FALSE),"")="","",IFERROR(HLOOKUP(F$2,$M$2:$BL30,$J30,FALSE),""))</f>
        <v/>
      </c>
      <c r="G30" s="16" t="str">
        <f>IF(IFERROR(HLOOKUP(G$2,$M$2:$BL30,$J30,FALSE),"")="","",IFERROR(HLOOKUP(G$2,$M$2:$BL30,$J30,FALSE),""))</f>
        <v/>
      </c>
      <c r="J30" s="17">
        <f t="shared" si="0"/>
        <v>29</v>
      </c>
      <c r="L30" s="16" t="s">
        <v>94</v>
      </c>
      <c r="M30" s="21"/>
      <c r="N30" s="27" t="s">
        <v>261</v>
      </c>
      <c r="R30" s="16" t="s">
        <v>262</v>
      </c>
      <c r="S30" s="21" t="s">
        <v>263</v>
      </c>
      <c r="T30" s="16" t="s">
        <v>264</v>
      </c>
      <c r="V30" s="16" t="s">
        <v>265</v>
      </c>
      <c r="W30" s="16" t="s">
        <v>266</v>
      </c>
      <c r="X30" s="26"/>
      <c r="Y30" s="26"/>
      <c r="Z30" s="16" t="s">
        <v>134</v>
      </c>
      <c r="AA30" s="21"/>
    </row>
    <row r="31" spans="1:100" ht="15" customHeight="1">
      <c r="A31" s="16" t="str">
        <f t="shared" si="3"/>
        <v>B</v>
      </c>
      <c r="B31" s="16" t="str">
        <f>IF(IFERROR(HLOOKUP(B$2,$M$2:$BL31,$J31,FALSE),"")="","",IFERROR(HLOOKUP(B$2,$M$2:$BL31,$J31,FALSE),""))</f>
        <v/>
      </c>
      <c r="C31" s="16" t="str">
        <f>IF(IFERROR(HLOOKUP(C$2,$M$2:$BL31,$J31,FALSE),"")="","",IFERROR(HLOOKUP(C$2,$M$2:$BL31,$J31,FALSE),""))</f>
        <v/>
      </c>
      <c r="D31" s="16" t="str">
        <f>IF(IFERROR(HLOOKUP(D$2,$M$2:$BL31,$J31,FALSE),"")="","",IFERROR(HLOOKUP(D$2,$M$2:$BL31,$J31,FALSE),""))</f>
        <v/>
      </c>
      <c r="E31" s="16" t="str">
        <f>IF(IFERROR(HLOOKUP(E$2,$M$2:$BL31,$J31,FALSE),"")="","",IFERROR(HLOOKUP(E$2,$M$2:$BL31,$J31,FALSE),""))</f>
        <v/>
      </c>
      <c r="F31" s="16" t="str">
        <f>IF(IFERROR(HLOOKUP(F$2,$M$2:$BL31,$J31,FALSE),"")="","",IFERROR(HLOOKUP(F$2,$M$2:$BL31,$J31,FALSE),""))</f>
        <v/>
      </c>
      <c r="G31" s="16" t="str">
        <f>IF(IFERROR(HLOOKUP(G$2,$M$2:$BL31,$J31,FALSE),"")="","",IFERROR(HLOOKUP(G$2,$M$2:$BL31,$J31,FALSE),""))</f>
        <v/>
      </c>
      <c r="J31" s="17">
        <f t="shared" si="0"/>
        <v>30</v>
      </c>
      <c r="L31" s="16" t="s">
        <v>136</v>
      </c>
      <c r="M31" s="21"/>
      <c r="N31" s="27" t="s">
        <v>267</v>
      </c>
      <c r="R31" s="16" t="s">
        <v>268</v>
      </c>
      <c r="S31" s="21" t="s">
        <v>269</v>
      </c>
      <c r="T31" s="16" t="s">
        <v>161</v>
      </c>
      <c r="V31" s="16" t="s">
        <v>265</v>
      </c>
      <c r="W31" s="16" t="s">
        <v>270</v>
      </c>
      <c r="Z31" s="16" t="s">
        <v>148</v>
      </c>
      <c r="AA31" s="21"/>
    </row>
    <row r="32" spans="1:100" ht="15" customHeight="1">
      <c r="A32" s="16" t="str">
        <f t="shared" si="3"/>
        <v>CCC and below</v>
      </c>
      <c r="B32" s="16" t="str">
        <f>IF(IFERROR(HLOOKUP(B$2,$M$2:$BL32,$J32,FALSE),"")="","",IFERROR(HLOOKUP(B$2,$M$2:$BL32,$J32,FALSE),""))</f>
        <v/>
      </c>
      <c r="C32" s="16" t="str">
        <f>IF(IFERROR(HLOOKUP(C$2,$M$2:$BL32,$J32,FALSE),"")="","",IFERROR(HLOOKUP(C$2,$M$2:$BL32,$J32,FALSE),""))</f>
        <v/>
      </c>
      <c r="D32" s="16" t="str">
        <f>IF(IFERROR(HLOOKUP(D$2,$M$2:$BL32,$J32,FALSE),"")="","",IFERROR(HLOOKUP(D$2,$M$2:$BL32,$J32,FALSE),""))</f>
        <v/>
      </c>
      <c r="E32" s="16" t="str">
        <f>IF(IFERROR(HLOOKUP(E$2,$M$2:$BL32,$J32,FALSE),"")="","",IFERROR(HLOOKUP(E$2,$M$2:$BL32,$J32,FALSE),""))</f>
        <v/>
      </c>
      <c r="F32" s="16" t="str">
        <f>IF(IFERROR(HLOOKUP(F$2,$M$2:$BL32,$J32,FALSE),"")="","",IFERROR(HLOOKUP(F$2,$M$2:$BL32,$J32,FALSE),""))</f>
        <v/>
      </c>
      <c r="G32" s="16" t="str">
        <f>IF(IFERROR(HLOOKUP(G$2,$M$2:$BL32,$J32,FALSE),"")="","",IFERROR(HLOOKUP(G$2,$M$2:$BL32,$J32,FALSE),""))</f>
        <v/>
      </c>
      <c r="J32" s="17">
        <f t="shared" si="0"/>
        <v>31</v>
      </c>
      <c r="L32" s="16" t="s">
        <v>163</v>
      </c>
      <c r="M32" s="21"/>
      <c r="N32" s="27" t="s">
        <v>271</v>
      </c>
      <c r="R32" s="16" t="s">
        <v>272</v>
      </c>
      <c r="S32" s="21" t="s">
        <v>273</v>
      </c>
      <c r="T32" s="16" t="s">
        <v>103</v>
      </c>
      <c r="V32" s="16" t="s">
        <v>103</v>
      </c>
      <c r="W32" s="16" t="s">
        <v>274</v>
      </c>
      <c r="Z32" s="16" t="s">
        <v>161</v>
      </c>
      <c r="AA32" s="21"/>
    </row>
    <row r="33" spans="1:27" s="19" customFormat="1" ht="15" customHeight="1">
      <c r="A33" s="22" t="str">
        <f>+K33</f>
        <v>Factor 4</v>
      </c>
      <c r="B33" s="22" t="str">
        <f>IF(IFERROR(HLOOKUP(B$2,$M$2:$BL33,$J33,FALSE),"")="","",IFERROR(HLOOKUP(B$2,$M$2:$BL33,$J33,FALSE),""))</f>
        <v/>
      </c>
      <c r="C33" s="22" t="str">
        <f>IF(IFERROR(HLOOKUP(C$2,$M$2:$BL33,$J33,FALSE),"")="","",IFERROR(HLOOKUP(C$2,$M$2:$BL33,$J33,FALSE),""))</f>
        <v/>
      </c>
      <c r="D33" s="22" t="str">
        <f>IF(IFERROR(HLOOKUP(D$2,$M$2:$BL33,$J33,FALSE),"")="","",IFERROR(HLOOKUP(D$2,$M$2:$BL33,$J33,FALSE),""))</f>
        <v/>
      </c>
      <c r="E33" s="22" t="str">
        <f>IF(IFERROR(HLOOKUP(E$2,$M$2:$BL33,$J33,FALSE),"")="","",IFERROR(HLOOKUP(E$2,$M$2:$BL33,$J33,FALSE),""))</f>
        <v/>
      </c>
      <c r="F33" s="22" t="str">
        <f>IF(IFERROR(HLOOKUP(F$2,$M$2:$BL33,$J33,FALSE),"")="","",IFERROR(HLOOKUP(F$2,$M$2:$BL33,$J33,FALSE),""))</f>
        <v/>
      </c>
      <c r="G33" s="22" t="str">
        <f>IF(IFERROR(HLOOKUP(G$2,$M$2:$BL33,$J33,FALSE),"")="","",IFERROR(HLOOKUP(G$2,$M$2:$BL33,$J33,FALSE),""))</f>
        <v/>
      </c>
      <c r="H33" s="22"/>
      <c r="J33" s="20">
        <f t="shared" si="0"/>
        <v>32</v>
      </c>
      <c r="K33" s="19" t="s">
        <v>275</v>
      </c>
      <c r="S33" s="19" t="s">
        <v>276</v>
      </c>
      <c r="T33" s="19" t="s">
        <v>277</v>
      </c>
      <c r="V33" s="19" t="s">
        <v>278</v>
      </c>
      <c r="W33" s="19" t="s">
        <v>279</v>
      </c>
      <c r="Z33" s="19" t="s">
        <v>280</v>
      </c>
    </row>
    <row r="34" spans="1:27" ht="15" customHeight="1">
      <c r="A34" s="16" t="str">
        <f t="shared" ref="A34:A39" si="4">+L34</f>
        <v>AA and above</v>
      </c>
      <c r="B34" s="16" t="str">
        <f>IF(IFERROR(HLOOKUP(B$2,$M$2:$BL34,$J34,FALSE),"")="","",IFERROR(HLOOKUP(B$2,$M$2:$BL34,$J34,FALSE),""))</f>
        <v/>
      </c>
      <c r="C34" s="16" t="str">
        <f>IF(IFERROR(HLOOKUP(C$2,$M$2:$BL34,$J34,FALSE),"")="","",IFERROR(HLOOKUP(C$2,$M$2:$BL34,$J34,FALSE),""))</f>
        <v/>
      </c>
      <c r="D34" s="16" t="str">
        <f>IF(IFERROR(HLOOKUP(D$2,$M$2:$BL34,$J34,FALSE),"")="","",IFERROR(HLOOKUP(D$2,$M$2:$BL34,$J34,FALSE),""))</f>
        <v/>
      </c>
      <c r="E34" s="16" t="str">
        <f>IF(IFERROR(HLOOKUP(E$2,$M$2:$BL34,$J34,FALSE),"")="","",IFERROR(HLOOKUP(E$2,$M$2:$BL34,$J34,FALSE),""))</f>
        <v/>
      </c>
      <c r="F34" s="16" t="str">
        <f>IF(IFERROR(HLOOKUP(F$2,$M$2:$BL34,$J34,FALSE),"")="","",IFERROR(HLOOKUP(F$2,$M$2:$BL34,$J34,FALSE),""))</f>
        <v/>
      </c>
      <c r="G34" s="16" t="str">
        <f>IF(IFERROR(HLOOKUP(G$2,$M$2:$BL34,$J34,FALSE),"")="","",IFERROR(HLOOKUP(G$2,$M$2:$BL34,$J34,FALSE),""))</f>
        <v/>
      </c>
      <c r="J34" s="17">
        <f t="shared" si="0"/>
        <v>33</v>
      </c>
      <c r="L34" s="16" t="s">
        <v>30</v>
      </c>
      <c r="Q34" s="21"/>
      <c r="S34" s="16" t="s">
        <v>281</v>
      </c>
      <c r="T34" s="27" t="s">
        <v>282</v>
      </c>
      <c r="V34" s="16" t="s">
        <v>103</v>
      </c>
      <c r="W34" s="16" t="s">
        <v>283</v>
      </c>
      <c r="Z34" s="21" t="s">
        <v>284</v>
      </c>
    </row>
    <row r="35" spans="1:27" ht="15" customHeight="1">
      <c r="A35" s="16" t="str">
        <f t="shared" si="4"/>
        <v>A</v>
      </c>
      <c r="B35" s="16" t="str">
        <f>IF(IFERROR(HLOOKUP(B$2,$M$2:$BL35,$J35,FALSE),"")="","",IFERROR(HLOOKUP(B$2,$M$2:$BL35,$J35,FALSE),""))</f>
        <v/>
      </c>
      <c r="C35" s="16" t="str">
        <f>IF(IFERROR(HLOOKUP(C$2,$M$2:$BL35,$J35,FALSE),"")="","",IFERROR(HLOOKUP(C$2,$M$2:$BL35,$J35,FALSE),""))</f>
        <v/>
      </c>
      <c r="D35" s="16" t="str">
        <f>IF(IFERROR(HLOOKUP(D$2,$M$2:$BL35,$J35,FALSE),"")="","",IFERROR(HLOOKUP(D$2,$M$2:$BL35,$J35,FALSE),""))</f>
        <v/>
      </c>
      <c r="E35" s="16" t="str">
        <f>IF(IFERROR(HLOOKUP(E$2,$M$2:$BL35,$J35,FALSE),"")="","",IFERROR(HLOOKUP(E$2,$M$2:$BL35,$J35,FALSE),""))</f>
        <v/>
      </c>
      <c r="F35" s="16" t="str">
        <f>IF(IFERROR(HLOOKUP(F$2,$M$2:$BL35,$J35,FALSE),"")="","",IFERROR(HLOOKUP(F$2,$M$2:$BL35,$J35,FALSE),""))</f>
        <v/>
      </c>
      <c r="G35" s="16" t="str">
        <f>IF(IFERROR(HLOOKUP(G$2,$M$2:$BL35,$J35,FALSE),"")="","",IFERROR(HLOOKUP(G$2,$M$2:$BL35,$J35,FALSE),""))</f>
        <v/>
      </c>
      <c r="J35" s="17">
        <f t="shared" si="0"/>
        <v>34</v>
      </c>
      <c r="L35" s="16" t="s">
        <v>63</v>
      </c>
      <c r="Q35" s="21"/>
      <c r="S35" s="16" t="s">
        <v>281</v>
      </c>
      <c r="T35" s="27" t="s">
        <v>282</v>
      </c>
      <c r="V35" s="27" t="s">
        <v>285</v>
      </c>
      <c r="W35" s="27" t="s">
        <v>286</v>
      </c>
      <c r="Z35" s="21" t="s">
        <v>287</v>
      </c>
    </row>
    <row r="36" spans="1:27" ht="15" customHeight="1">
      <c r="A36" s="16" t="str">
        <f t="shared" si="4"/>
        <v>BBB</v>
      </c>
      <c r="B36" s="16" t="str">
        <f>IF(IFERROR(HLOOKUP(B$2,$M$2:$BL36,$J36,FALSE),"")="","",IFERROR(HLOOKUP(B$2,$M$2:$BL36,$J36,FALSE),""))</f>
        <v/>
      </c>
      <c r="C36" s="16" t="str">
        <f>IF(IFERROR(HLOOKUP(C$2,$M$2:$BL36,$J36,FALSE),"")="","",IFERROR(HLOOKUP(C$2,$M$2:$BL36,$J36,FALSE),""))</f>
        <v/>
      </c>
      <c r="D36" s="16" t="str">
        <f>IF(IFERROR(HLOOKUP(D$2,$M$2:$BL36,$J36,FALSE),"")="","",IFERROR(HLOOKUP(D$2,$M$2:$BL36,$J36,FALSE),""))</f>
        <v/>
      </c>
      <c r="E36" s="16" t="str">
        <f>IF(IFERROR(HLOOKUP(E$2,$M$2:$BL36,$J36,FALSE),"")="","",IFERROR(HLOOKUP(E$2,$M$2:$BL36,$J36,FALSE),""))</f>
        <v/>
      </c>
      <c r="F36" s="16" t="str">
        <f>IF(IFERROR(HLOOKUP(F$2,$M$2:$BL36,$J36,FALSE),"")="","",IFERROR(HLOOKUP(F$2,$M$2:$BL36,$J36,FALSE),""))</f>
        <v/>
      </c>
      <c r="G36" s="16" t="str">
        <f>IF(IFERROR(HLOOKUP(G$2,$M$2:$BL36,$J36,FALSE),"")="","",IFERROR(HLOOKUP(G$2,$M$2:$BL36,$J36,FALSE),""))</f>
        <v/>
      </c>
      <c r="J36" s="17">
        <f t="shared" si="0"/>
        <v>35</v>
      </c>
      <c r="L36" s="16" t="s">
        <v>72</v>
      </c>
      <c r="M36" s="14"/>
      <c r="Q36" s="21"/>
      <c r="S36" s="14" t="s">
        <v>146</v>
      </c>
      <c r="T36" s="28" t="s">
        <v>288</v>
      </c>
      <c r="V36" s="27" t="s">
        <v>285</v>
      </c>
      <c r="W36" s="27" t="s">
        <v>289</v>
      </c>
      <c r="Z36" s="21" t="s">
        <v>290</v>
      </c>
      <c r="AA36" s="14"/>
    </row>
    <row r="37" spans="1:27" ht="15" customHeight="1">
      <c r="A37" s="16" t="str">
        <f t="shared" si="4"/>
        <v>BB</v>
      </c>
      <c r="B37" s="16" t="str">
        <f>IF(IFERROR(HLOOKUP(B$2,$M$2:$BL37,$J37,FALSE),"")="","",IFERROR(HLOOKUP(B$2,$M$2:$BL37,$J37,FALSE),""))</f>
        <v/>
      </c>
      <c r="C37" s="16" t="str">
        <f>IF(IFERROR(HLOOKUP(C$2,$M$2:$BL37,$J37,FALSE),"")="","",IFERROR(HLOOKUP(C$2,$M$2:$BL37,$J37,FALSE),""))</f>
        <v/>
      </c>
      <c r="D37" s="16" t="str">
        <f>IF(IFERROR(HLOOKUP(D$2,$M$2:$BL37,$J37,FALSE),"")="","",IFERROR(HLOOKUP(D$2,$M$2:$BL37,$J37,FALSE),""))</f>
        <v/>
      </c>
      <c r="E37" s="16" t="str">
        <f>IF(IFERROR(HLOOKUP(E$2,$M$2:$BL37,$J37,FALSE),"")="","",IFERROR(HLOOKUP(E$2,$M$2:$BL37,$J37,FALSE),""))</f>
        <v/>
      </c>
      <c r="F37" s="16" t="str">
        <f>IF(IFERROR(HLOOKUP(F$2,$M$2:$BL37,$J37,FALSE),"")="","",IFERROR(HLOOKUP(F$2,$M$2:$BL37,$J37,FALSE),""))</f>
        <v/>
      </c>
      <c r="G37" s="16" t="str">
        <f>IF(IFERROR(HLOOKUP(G$2,$M$2:$BL37,$J37,FALSE),"")="","",IFERROR(HLOOKUP(G$2,$M$2:$BL37,$J37,FALSE),""))</f>
        <v/>
      </c>
      <c r="J37" s="17">
        <f t="shared" si="0"/>
        <v>36</v>
      </c>
      <c r="L37" s="16" t="s">
        <v>94</v>
      </c>
      <c r="M37" s="14"/>
      <c r="Q37" s="21"/>
      <c r="S37" s="14" t="s">
        <v>291</v>
      </c>
      <c r="T37" s="27" t="s">
        <v>292</v>
      </c>
      <c r="V37" s="27" t="s">
        <v>293</v>
      </c>
      <c r="W37" s="27" t="s">
        <v>199</v>
      </c>
      <c r="Z37" s="21" t="s">
        <v>294</v>
      </c>
      <c r="AA37" s="14"/>
    </row>
    <row r="38" spans="1:27" ht="15" customHeight="1">
      <c r="A38" s="16" t="str">
        <f t="shared" si="4"/>
        <v>B</v>
      </c>
      <c r="B38" s="16" t="str">
        <f>IF(IFERROR(HLOOKUP(B$2,$M$2:$BL38,$J38,FALSE),"")="","",IFERROR(HLOOKUP(B$2,$M$2:$BL38,$J38,FALSE),""))</f>
        <v/>
      </c>
      <c r="C38" s="16" t="str">
        <f>IF(IFERROR(HLOOKUP(C$2,$M$2:$BL38,$J38,FALSE),"")="","",IFERROR(HLOOKUP(C$2,$M$2:$BL38,$J38,FALSE),""))</f>
        <v/>
      </c>
      <c r="D38" s="16" t="str">
        <f>IF(IFERROR(HLOOKUP(D$2,$M$2:$BL38,$J38,FALSE),"")="","",IFERROR(HLOOKUP(D$2,$M$2:$BL38,$J38,FALSE),""))</f>
        <v/>
      </c>
      <c r="E38" s="16" t="str">
        <f>IF(IFERROR(HLOOKUP(E$2,$M$2:$BL38,$J38,FALSE),"")="","",IFERROR(HLOOKUP(E$2,$M$2:$BL38,$J38,FALSE),""))</f>
        <v/>
      </c>
      <c r="F38" s="16" t="str">
        <f>IF(IFERROR(HLOOKUP(F$2,$M$2:$BL38,$J38,FALSE),"")="","",IFERROR(HLOOKUP(F$2,$M$2:$BL38,$J38,FALSE),""))</f>
        <v/>
      </c>
      <c r="G38" s="16" t="str">
        <f>IF(IFERROR(HLOOKUP(G$2,$M$2:$BL38,$J38,FALSE),"")="","",IFERROR(HLOOKUP(G$2,$M$2:$BL38,$J38,FALSE),""))</f>
        <v/>
      </c>
      <c r="J38" s="17">
        <f t="shared" si="0"/>
        <v>37</v>
      </c>
      <c r="L38" s="16" t="s">
        <v>136</v>
      </c>
      <c r="Q38" s="21"/>
      <c r="S38" s="16" t="s">
        <v>295</v>
      </c>
      <c r="T38" s="27" t="s">
        <v>296</v>
      </c>
      <c r="V38" s="27" t="s">
        <v>293</v>
      </c>
      <c r="W38" s="27" t="s">
        <v>170</v>
      </c>
      <c r="Z38" s="21" t="s">
        <v>297</v>
      </c>
    </row>
    <row r="39" spans="1:27" ht="15" customHeight="1">
      <c r="A39" s="16" t="str">
        <f t="shared" si="4"/>
        <v>CCC and below</v>
      </c>
      <c r="B39" s="16" t="str">
        <f>IF(IFERROR(HLOOKUP(B$2,$M$2:$BL39,$J39,FALSE),"")="","",IFERROR(HLOOKUP(B$2,$M$2:$BL39,$J39,FALSE),""))</f>
        <v/>
      </c>
      <c r="C39" s="16" t="str">
        <f>IF(IFERROR(HLOOKUP(C$2,$M$2:$BL39,$J39,FALSE),"")="","",IFERROR(HLOOKUP(C$2,$M$2:$BL39,$J39,FALSE),""))</f>
        <v/>
      </c>
      <c r="D39" s="16" t="str">
        <f>IF(IFERROR(HLOOKUP(D$2,$M$2:$BL39,$J39,FALSE),"")="","",IFERROR(HLOOKUP(D$2,$M$2:$BL39,$J39,FALSE),""))</f>
        <v/>
      </c>
      <c r="E39" s="16" t="str">
        <f>IF(IFERROR(HLOOKUP(E$2,$M$2:$BL39,$J39,FALSE),"")="","",IFERROR(HLOOKUP(E$2,$M$2:$BL39,$J39,FALSE),""))</f>
        <v/>
      </c>
      <c r="F39" s="16" t="str">
        <f>IF(IFERROR(HLOOKUP(F$2,$M$2:$BL39,$J39,FALSE),"")="","",IFERROR(HLOOKUP(F$2,$M$2:$BL39,$J39,FALSE),""))</f>
        <v/>
      </c>
      <c r="G39" s="16" t="str">
        <f>IF(IFERROR(HLOOKUP(G$2,$M$2:$BL39,$J39,FALSE),"")="","",IFERROR(HLOOKUP(G$2,$M$2:$BL39,$J39,FALSE),""))</f>
        <v/>
      </c>
      <c r="J39" s="17">
        <f t="shared" si="0"/>
        <v>38</v>
      </c>
      <c r="L39" s="16" t="s">
        <v>163</v>
      </c>
      <c r="Q39" s="21"/>
      <c r="S39" s="16" t="s">
        <v>295</v>
      </c>
      <c r="T39" s="16" t="s">
        <v>103</v>
      </c>
      <c r="V39" s="16" t="s">
        <v>103</v>
      </c>
      <c r="W39" s="16" t="s">
        <v>170</v>
      </c>
      <c r="Z39" s="21" t="s">
        <v>166</v>
      </c>
    </row>
    <row r="40" spans="1:27" s="19" customFormat="1" ht="15" customHeight="1">
      <c r="A40" s="22" t="str">
        <f>+K40</f>
        <v>Factor 5</v>
      </c>
      <c r="B40" s="22" t="str">
        <f>IF(IFERROR(HLOOKUP(B$2,$M$2:$BL40,$J40,FALSE),"")="","",IFERROR(HLOOKUP(B$2,$M$2:$BL40,$J40,FALSE),""))</f>
        <v/>
      </c>
      <c r="C40" s="22" t="str">
        <f>IF(IFERROR(HLOOKUP(C$2,$M$2:$BL40,$J40,FALSE),"")="","",IFERROR(HLOOKUP(C$2,$M$2:$BL40,$J40,FALSE),""))</f>
        <v/>
      </c>
      <c r="D40" s="22" t="str">
        <f>IF(IFERROR(HLOOKUP(D$2,$M$2:$BL40,$J40,FALSE),"")="","",IFERROR(HLOOKUP(D$2,$M$2:$BL40,$J40,FALSE),""))</f>
        <v/>
      </c>
      <c r="E40" s="22" t="str">
        <f>IF(IFERROR(HLOOKUP(E$2,$M$2:$BL40,$J40,FALSE),"")="","",IFERROR(HLOOKUP(E$2,$M$2:$BL40,$J40,FALSE),""))</f>
        <v/>
      </c>
      <c r="F40" s="22" t="str">
        <f>IF(IFERROR(HLOOKUP(F$2,$M$2:$BL40,$J40,FALSE),"")="","",IFERROR(HLOOKUP(F$2,$M$2:$BL40,$J40,FALSE),""))</f>
        <v/>
      </c>
      <c r="G40" s="22" t="str">
        <f>IF(IFERROR(HLOOKUP(G$2,$M$2:$BL40,$J40,FALSE),"")="","",IFERROR(HLOOKUP(G$2,$M$2:$BL40,$J40,FALSE),""))</f>
        <v/>
      </c>
      <c r="H40" s="22"/>
      <c r="J40" s="20">
        <f t="shared" si="0"/>
        <v>39</v>
      </c>
      <c r="K40" s="19" t="s">
        <v>298</v>
      </c>
      <c r="V40" s="19" t="s">
        <v>299</v>
      </c>
    </row>
    <row r="41" spans="1:27" ht="15" customHeight="1">
      <c r="A41" s="16" t="str">
        <f t="shared" ref="A41:A46" si="5">+L41</f>
        <v>AA and above</v>
      </c>
      <c r="B41" s="16" t="str">
        <f>IF(IFERROR(HLOOKUP(B$2,$M$2:$BL41,$J41,FALSE),"")="","",IFERROR(HLOOKUP(B$2,$M$2:$BL41,$J41,FALSE),""))</f>
        <v/>
      </c>
      <c r="C41" s="16" t="str">
        <f>IF(IFERROR(HLOOKUP(C$2,$M$2:$BL41,$J41,FALSE),"")="","",IFERROR(HLOOKUP(C$2,$M$2:$BL41,$J41,FALSE),""))</f>
        <v/>
      </c>
      <c r="D41" s="16" t="str">
        <f>IF(IFERROR(HLOOKUP(D$2,$M$2:$BL41,$J41,FALSE),"")="","",IFERROR(HLOOKUP(D$2,$M$2:$BL41,$J41,FALSE),""))</f>
        <v/>
      </c>
      <c r="E41" s="16" t="str">
        <f>IF(IFERROR(HLOOKUP(E$2,$M$2:$BL41,$J41,FALSE),"")="","",IFERROR(HLOOKUP(E$2,$M$2:$BL41,$J41,FALSE),""))</f>
        <v/>
      </c>
      <c r="F41" s="16" t="str">
        <f>IF(IFERROR(HLOOKUP(F$2,$M$2:$BL41,$J41,FALSE),"")="","",IFERROR(HLOOKUP(F$2,$M$2:$BL41,$J41,FALSE),""))</f>
        <v/>
      </c>
      <c r="G41" s="16" t="str">
        <f>IF(IFERROR(HLOOKUP(G$2,$M$2:$BL41,$J41,FALSE),"")="","",IFERROR(HLOOKUP(G$2,$M$2:$BL41,$J41,FALSE),""))</f>
        <v/>
      </c>
      <c r="J41" s="17">
        <f t="shared" si="0"/>
        <v>40</v>
      </c>
      <c r="L41" s="16" t="s">
        <v>30</v>
      </c>
      <c r="V41" s="16" t="s">
        <v>103</v>
      </c>
    </row>
    <row r="42" spans="1:27" ht="15" customHeight="1">
      <c r="A42" s="16" t="str">
        <f t="shared" si="5"/>
        <v>A</v>
      </c>
      <c r="B42" s="16" t="str">
        <f>IF(IFERROR(HLOOKUP(B$2,$M$2:$BL42,$J42,FALSE),"")="","",IFERROR(HLOOKUP(B$2,$M$2:$BL42,$J42,FALSE),""))</f>
        <v/>
      </c>
      <c r="C42" s="16" t="str">
        <f>IF(IFERROR(HLOOKUP(C$2,$M$2:$BL42,$J42,FALSE),"")="","",IFERROR(HLOOKUP(C$2,$M$2:$BL42,$J42,FALSE),""))</f>
        <v/>
      </c>
      <c r="D42" s="16" t="str">
        <f>IF(IFERROR(HLOOKUP(D$2,$M$2:$BL42,$J42,FALSE),"")="","",IFERROR(HLOOKUP(D$2,$M$2:$BL42,$J42,FALSE),""))</f>
        <v/>
      </c>
      <c r="E42" s="16" t="str">
        <f>IF(IFERROR(HLOOKUP(E$2,$M$2:$BL42,$J42,FALSE),"")="","",IFERROR(HLOOKUP(E$2,$M$2:$BL42,$J42,FALSE),""))</f>
        <v/>
      </c>
      <c r="F42" s="16" t="str">
        <f>IF(IFERROR(HLOOKUP(F$2,$M$2:$BL42,$J42,FALSE),"")="","",IFERROR(HLOOKUP(F$2,$M$2:$BL42,$J42,FALSE),""))</f>
        <v/>
      </c>
      <c r="G42" s="16" t="str">
        <f>IF(IFERROR(HLOOKUP(G$2,$M$2:$BL42,$J42,FALSE),"")="","",IFERROR(HLOOKUP(G$2,$M$2:$BL42,$J42,FALSE),""))</f>
        <v/>
      </c>
      <c r="J42" s="17">
        <f t="shared" si="0"/>
        <v>41</v>
      </c>
      <c r="L42" s="16" t="s">
        <v>63</v>
      </c>
      <c r="V42" s="16" t="s">
        <v>300</v>
      </c>
    </row>
    <row r="43" spans="1:27" ht="15" customHeight="1">
      <c r="A43" s="16" t="str">
        <f t="shared" si="5"/>
        <v>BBB</v>
      </c>
      <c r="B43" s="16" t="str">
        <f>IF(IFERROR(HLOOKUP(B$2,$M$2:$BL43,$J43,FALSE),"")="","",IFERROR(HLOOKUP(B$2,$M$2:$BL43,$J43,FALSE),""))</f>
        <v/>
      </c>
      <c r="C43" s="16" t="str">
        <f>IF(IFERROR(HLOOKUP(C$2,$M$2:$BL43,$J43,FALSE),"")="","",IFERROR(HLOOKUP(C$2,$M$2:$BL43,$J43,FALSE),""))</f>
        <v/>
      </c>
      <c r="D43" s="16" t="str">
        <f>IF(IFERROR(HLOOKUP(D$2,$M$2:$BL43,$J43,FALSE),"")="","",IFERROR(HLOOKUP(D$2,$M$2:$BL43,$J43,FALSE),""))</f>
        <v/>
      </c>
      <c r="E43" s="16" t="str">
        <f>IF(IFERROR(HLOOKUP(E$2,$M$2:$BL43,$J43,FALSE),"")="","",IFERROR(HLOOKUP(E$2,$M$2:$BL43,$J43,FALSE),""))</f>
        <v/>
      </c>
      <c r="F43" s="16" t="str">
        <f>IF(IFERROR(HLOOKUP(F$2,$M$2:$BL43,$J43,FALSE),"")="","",IFERROR(HLOOKUP(F$2,$M$2:$BL43,$J43,FALSE),""))</f>
        <v/>
      </c>
      <c r="G43" s="16" t="str">
        <f>IF(IFERROR(HLOOKUP(G$2,$M$2:$BL43,$J43,FALSE),"")="","",IFERROR(HLOOKUP(G$2,$M$2:$BL43,$J43,FALSE),""))</f>
        <v/>
      </c>
      <c r="J43" s="17">
        <f t="shared" si="0"/>
        <v>42</v>
      </c>
      <c r="L43" s="16" t="s">
        <v>72</v>
      </c>
      <c r="V43" s="16" t="s">
        <v>300</v>
      </c>
    </row>
    <row r="44" spans="1:27" ht="15" customHeight="1">
      <c r="A44" s="16" t="str">
        <f t="shared" si="5"/>
        <v>BB</v>
      </c>
      <c r="B44" s="16" t="str">
        <f>IF(IFERROR(HLOOKUP(B$2,$M$2:$BL44,$J44,FALSE),"")="","",IFERROR(HLOOKUP(B$2,$M$2:$BL44,$J44,FALSE),""))</f>
        <v/>
      </c>
      <c r="C44" s="16" t="str">
        <f>IF(IFERROR(HLOOKUP(C$2,$M$2:$BL44,$J44,FALSE),"")="","",IFERROR(HLOOKUP(C$2,$M$2:$BL44,$J44,FALSE),""))</f>
        <v/>
      </c>
      <c r="D44" s="16" t="str">
        <f>IF(IFERROR(HLOOKUP(D$2,$M$2:$BL44,$J44,FALSE),"")="","",IFERROR(HLOOKUP(D$2,$M$2:$BL44,$J44,FALSE),""))</f>
        <v/>
      </c>
      <c r="E44" s="16" t="str">
        <f>IF(IFERROR(HLOOKUP(E$2,$M$2:$BL44,$J44,FALSE),"")="","",IFERROR(HLOOKUP(E$2,$M$2:$BL44,$J44,FALSE),""))</f>
        <v/>
      </c>
      <c r="F44" s="16" t="str">
        <f>IF(IFERROR(HLOOKUP(F$2,$M$2:$BL44,$J44,FALSE),"")="","",IFERROR(HLOOKUP(F$2,$M$2:$BL44,$J44,FALSE),""))</f>
        <v/>
      </c>
      <c r="G44" s="16" t="str">
        <f>IF(IFERROR(HLOOKUP(G$2,$M$2:$BL44,$J44,FALSE),"")="","",IFERROR(HLOOKUP(G$2,$M$2:$BL44,$J44,FALSE),""))</f>
        <v/>
      </c>
      <c r="J44" s="17">
        <f t="shared" si="0"/>
        <v>43</v>
      </c>
      <c r="L44" s="16" t="s">
        <v>94</v>
      </c>
      <c r="V44" s="16" t="s">
        <v>301</v>
      </c>
    </row>
    <row r="45" spans="1:27" ht="15" customHeight="1">
      <c r="A45" s="16" t="str">
        <f t="shared" si="5"/>
        <v>B</v>
      </c>
      <c r="B45" s="16" t="str">
        <f>IF(IFERROR(HLOOKUP(B$2,$M$2:$BL45,$J45,FALSE),"")="","",IFERROR(HLOOKUP(B$2,$M$2:$BL45,$J45,FALSE),""))</f>
        <v/>
      </c>
      <c r="C45" s="16" t="str">
        <f>IF(IFERROR(HLOOKUP(C$2,$M$2:$BL45,$J45,FALSE),"")="","",IFERROR(HLOOKUP(C$2,$M$2:$BL45,$J45,FALSE),""))</f>
        <v/>
      </c>
      <c r="D45" s="16" t="str">
        <f>IF(IFERROR(HLOOKUP(D$2,$M$2:$BL45,$J45,FALSE),"")="","",IFERROR(HLOOKUP(D$2,$M$2:$BL45,$J45,FALSE),""))</f>
        <v/>
      </c>
      <c r="E45" s="16" t="str">
        <f>IF(IFERROR(HLOOKUP(E$2,$M$2:$BL45,$J45,FALSE),"")="","",IFERROR(HLOOKUP(E$2,$M$2:$BL45,$J45,FALSE),""))</f>
        <v/>
      </c>
      <c r="F45" s="16" t="str">
        <f>IF(IFERROR(HLOOKUP(F$2,$M$2:$BL45,$J45,FALSE),"")="","",IFERROR(HLOOKUP(F$2,$M$2:$BL45,$J45,FALSE),""))</f>
        <v/>
      </c>
      <c r="G45" s="16" t="str">
        <f>IF(IFERROR(HLOOKUP(G$2,$M$2:$BL45,$J45,FALSE),"")="","",IFERROR(HLOOKUP(G$2,$M$2:$BL45,$J45,FALSE),""))</f>
        <v/>
      </c>
      <c r="J45" s="17">
        <f t="shared" si="0"/>
        <v>44</v>
      </c>
      <c r="L45" s="16" t="s">
        <v>136</v>
      </c>
      <c r="V45" s="16" t="s">
        <v>301</v>
      </c>
    </row>
    <row r="46" spans="1:27" ht="15" customHeight="1">
      <c r="A46" s="16" t="str">
        <f t="shared" si="5"/>
        <v>CCC and below</v>
      </c>
      <c r="B46" s="16" t="str">
        <f>IF(IFERROR(HLOOKUP(B$2,$M$2:$BL46,$J46,FALSE),"")="","",IFERROR(HLOOKUP(B$2,$M$2:$BL46,$J46,FALSE),""))</f>
        <v/>
      </c>
      <c r="C46" s="16" t="str">
        <f>IF(IFERROR(HLOOKUP(C$2,$M$2:$BL46,$J46,FALSE),"")="","",IFERROR(HLOOKUP(C$2,$M$2:$BL46,$J46,FALSE),""))</f>
        <v/>
      </c>
      <c r="D46" s="16" t="str">
        <f>IF(IFERROR(HLOOKUP(D$2,$M$2:$BL46,$J46,FALSE),"")="","",IFERROR(HLOOKUP(D$2,$M$2:$BL46,$J46,FALSE),""))</f>
        <v/>
      </c>
      <c r="E46" s="16" t="str">
        <f>IF(IFERROR(HLOOKUP(E$2,$M$2:$BL46,$J46,FALSE),"")="","",IFERROR(HLOOKUP(E$2,$M$2:$BL46,$J46,FALSE),""))</f>
        <v/>
      </c>
      <c r="F46" s="16" t="str">
        <f>IF(IFERROR(HLOOKUP(F$2,$M$2:$BL46,$J46,FALSE),"")="","",IFERROR(HLOOKUP(F$2,$M$2:$BL46,$J46,FALSE),""))</f>
        <v/>
      </c>
      <c r="G46" s="16" t="str">
        <f>IF(IFERROR(HLOOKUP(G$2,$M$2:$BL46,$J46,FALSE),"")="","",IFERROR(HLOOKUP(G$2,$M$2:$BL46,$J46,FALSE),""))</f>
        <v/>
      </c>
      <c r="J46" s="17">
        <f t="shared" si="0"/>
        <v>45</v>
      </c>
      <c r="L46" s="16" t="s">
        <v>163</v>
      </c>
      <c r="V46" s="16" t="s">
        <v>103</v>
      </c>
    </row>
    <row r="47" spans="1:27">
      <c r="J47" s="17">
        <f t="shared" si="0"/>
        <v>46</v>
      </c>
    </row>
    <row r="48" spans="1:27">
      <c r="B48" s="19" t="s">
        <v>302</v>
      </c>
      <c r="C48" s="19" t="s">
        <v>303</v>
      </c>
      <c r="D48" s="19" t="s">
        <v>304</v>
      </c>
      <c r="E48" s="19" t="s">
        <v>305</v>
      </c>
      <c r="F48" s="19" t="s">
        <v>306</v>
      </c>
      <c r="G48" s="19" t="s">
        <v>307</v>
      </c>
      <c r="H48" s="19"/>
      <c r="J48" s="17">
        <f t="shared" si="0"/>
        <v>47</v>
      </c>
    </row>
    <row r="49" spans="1:26">
      <c r="B49" s="19" t="s">
        <v>308</v>
      </c>
      <c r="C49" s="19" t="s">
        <v>309</v>
      </c>
      <c r="D49" s="19" t="s">
        <v>310</v>
      </c>
      <c r="E49" s="19" t="s">
        <v>311</v>
      </c>
      <c r="F49" s="19" t="s">
        <v>312</v>
      </c>
      <c r="G49" s="19" t="s">
        <v>313</v>
      </c>
      <c r="H49" s="19"/>
      <c r="J49" s="17">
        <f t="shared" si="0"/>
        <v>48</v>
      </c>
    </row>
    <row r="50" spans="1:26">
      <c r="B50" s="19" t="s">
        <v>314</v>
      </c>
      <c r="C50" s="19" t="s">
        <v>315</v>
      </c>
      <c r="D50" s="19" t="s">
        <v>316</v>
      </c>
      <c r="E50" s="19" t="s">
        <v>317</v>
      </c>
      <c r="F50" s="19" t="s">
        <v>318</v>
      </c>
      <c r="G50" s="19" t="s">
        <v>319</v>
      </c>
      <c r="H50" s="19"/>
      <c r="J50" s="17">
        <f t="shared" si="0"/>
        <v>49</v>
      </c>
    </row>
    <row r="51" spans="1:26">
      <c r="B51" s="19" t="s">
        <v>320</v>
      </c>
      <c r="C51" s="19" t="s">
        <v>321</v>
      </c>
      <c r="D51" s="19" t="s">
        <v>322</v>
      </c>
      <c r="E51" s="19" t="s">
        <v>323</v>
      </c>
      <c r="F51" s="19" t="s">
        <v>324</v>
      </c>
      <c r="G51" s="19" t="s">
        <v>325</v>
      </c>
      <c r="H51" s="19"/>
      <c r="J51" s="17">
        <f t="shared" si="0"/>
        <v>50</v>
      </c>
    </row>
    <row r="52" spans="1:26">
      <c r="B52" s="19" t="s">
        <v>326</v>
      </c>
      <c r="C52" s="19" t="s">
        <v>327</v>
      </c>
      <c r="D52" s="19" t="s">
        <v>328</v>
      </c>
      <c r="E52" s="19" t="s">
        <v>329</v>
      </c>
      <c r="F52" s="19" t="s">
        <v>330</v>
      </c>
      <c r="G52" s="19" t="s">
        <v>331</v>
      </c>
      <c r="H52" s="19"/>
      <c r="J52" s="17">
        <f t="shared" si="0"/>
        <v>51</v>
      </c>
    </row>
    <row r="53" spans="1:26">
      <c r="J53" s="17">
        <f t="shared" si="0"/>
        <v>52</v>
      </c>
    </row>
    <row r="54" spans="1:26" ht="15" customHeight="1">
      <c r="J54" s="17">
        <f t="shared" si="0"/>
        <v>53</v>
      </c>
    </row>
    <row r="55" spans="1:26" ht="15" customHeight="1">
      <c r="A55" s="24" t="s">
        <v>332</v>
      </c>
      <c r="J55" s="17">
        <f t="shared" si="0"/>
        <v>54</v>
      </c>
      <c r="K55" s="18" t="s">
        <v>333</v>
      </c>
    </row>
    <row r="56" spans="1:26" s="19" customFormat="1" ht="15" customHeight="1">
      <c r="A56" s="22" t="str">
        <f>+K56</f>
        <v>Factor 1</v>
      </c>
      <c r="B56" s="22" t="str">
        <f>IF(IFERROR(HLOOKUP(B$2,$M$2:$BL56,$J56,FALSE),"")="","",IFERROR(HLOOKUP(B$2,$M$2:$BL56,$J56,FALSE),""))</f>
        <v/>
      </c>
      <c r="C56" s="22" t="str">
        <f>IF(IFERROR(HLOOKUP(C$2,$M$2:$BL56,$J56,FALSE),"")="","",IFERROR(HLOOKUP(C$2,$M$2:$BL56,$J56,FALSE),""))</f>
        <v/>
      </c>
      <c r="D56" s="22" t="str">
        <f>IF(IFERROR(HLOOKUP(D$2,$M$2:$BL56,$J56,FALSE),"")="","",IFERROR(HLOOKUP(D$2,$M$2:$BL56,$J56,FALSE),""))</f>
        <v/>
      </c>
      <c r="E56" s="22" t="str">
        <f>IF(IFERROR(HLOOKUP(E$2,$M$2:$BL56,$J56,FALSE),"")="","",IFERROR(HLOOKUP(E$2,$M$2:$BL56,$J56,FALSE),""))</f>
        <v/>
      </c>
      <c r="F56" s="22" t="str">
        <f>IF(IFERROR(HLOOKUP(F$2,$M$2:$BL56,$J56,FALSE),"")="","",IFERROR(HLOOKUP(F$2,$M$2:$BL56,$J56,FALSE),""))</f>
        <v/>
      </c>
      <c r="G56" s="22" t="str">
        <f>IF(IFERROR(HLOOKUP(G$2,$M$2:$BL56,$J56,FALSE),"")="","",IFERROR(HLOOKUP(G$2,$M$2:$BL56,$J56,FALSE),""))</f>
        <v/>
      </c>
      <c r="H56" s="22"/>
      <c r="J56" s="20">
        <f t="shared" si="0"/>
        <v>55</v>
      </c>
      <c r="K56" s="19" t="s">
        <v>79</v>
      </c>
      <c r="M56" s="19" t="s">
        <v>334</v>
      </c>
      <c r="N56" s="19" t="s">
        <v>335</v>
      </c>
      <c r="O56" s="19" t="s">
        <v>336</v>
      </c>
      <c r="P56" s="19" t="s">
        <v>337</v>
      </c>
      <c r="Q56" s="19" t="s">
        <v>334</v>
      </c>
      <c r="R56" s="19" t="s">
        <v>338</v>
      </c>
      <c r="S56" s="19" t="s">
        <v>336</v>
      </c>
      <c r="T56" s="19" t="s">
        <v>336</v>
      </c>
      <c r="V56" s="19" t="s">
        <v>337</v>
      </c>
      <c r="W56" s="19" t="s">
        <v>336</v>
      </c>
      <c r="X56" s="19" t="s">
        <v>337</v>
      </c>
      <c r="Y56" s="19" t="s">
        <v>337</v>
      </c>
      <c r="Z56" s="19" t="s">
        <v>339</v>
      </c>
    </row>
    <row r="57" spans="1:26" ht="15" customHeight="1">
      <c r="A57" s="16" t="str">
        <f t="shared" ref="A57:A62" si="6">+L57</f>
        <v>AA and above</v>
      </c>
      <c r="B57" s="16" t="str">
        <f>IF(IFERROR(HLOOKUP(B$2,$M$2:$BL57,$J57,FALSE),"")="","",IFERROR(HLOOKUP(B$2,$M$2:$BL57,$J57,FALSE),""))</f>
        <v/>
      </c>
      <c r="C57" s="16" t="str">
        <f>IF(IFERROR(HLOOKUP(C$2,$M$2:$BL57,$J57,FALSE),"")="","",IFERROR(HLOOKUP(C$2,$M$2:$BL57,$J57,FALSE),""))</f>
        <v/>
      </c>
      <c r="D57" s="16" t="str">
        <f>IF(IFERROR(HLOOKUP(D$2,$M$2:$BL57,$J57,FALSE),"")="","",IFERROR(HLOOKUP(D$2,$M$2:$BL57,$J57,FALSE),""))</f>
        <v/>
      </c>
      <c r="E57" s="16" t="str">
        <f>IF(IFERROR(HLOOKUP(E$2,$M$2:$BL57,$J57,FALSE),"")="","",IFERROR(HLOOKUP(E$2,$M$2:$BL57,$J57,FALSE),""))</f>
        <v/>
      </c>
      <c r="F57" s="16" t="str">
        <f>IF(IFERROR(HLOOKUP(F$2,$M$2:$BL57,$J57,FALSE),"")="","",IFERROR(HLOOKUP(F$2,$M$2:$BL57,$J57,FALSE),""))</f>
        <v/>
      </c>
      <c r="G57" s="16" t="str">
        <f>IF(IFERROR(HLOOKUP(G$2,$M$2:$BL57,$J57,FALSE),"")="","",IFERROR(HLOOKUP(G$2,$M$2:$BL57,$J57,FALSE),""))</f>
        <v/>
      </c>
      <c r="J57" s="17">
        <f t="shared" si="0"/>
        <v>56</v>
      </c>
      <c r="L57" s="16" t="s">
        <v>30</v>
      </c>
      <c r="M57" s="16" t="s">
        <v>340</v>
      </c>
      <c r="N57" s="16" t="s">
        <v>104</v>
      </c>
      <c r="O57" s="16" t="s">
        <v>341</v>
      </c>
      <c r="P57" s="16" t="s">
        <v>342</v>
      </c>
      <c r="Q57" s="16" t="s">
        <v>343</v>
      </c>
      <c r="R57" s="16" t="s">
        <v>344</v>
      </c>
      <c r="S57" s="16" t="s">
        <v>345</v>
      </c>
      <c r="T57" s="16" t="s">
        <v>346</v>
      </c>
      <c r="V57" s="16" t="s">
        <v>103</v>
      </c>
      <c r="W57" s="16" t="s">
        <v>347</v>
      </c>
      <c r="X57" s="16" t="s">
        <v>348</v>
      </c>
      <c r="Y57" s="16" t="s">
        <v>348</v>
      </c>
      <c r="Z57" s="16" t="s">
        <v>349</v>
      </c>
    </row>
    <row r="58" spans="1:26" ht="15" customHeight="1">
      <c r="A58" s="16" t="str">
        <f t="shared" si="6"/>
        <v>A</v>
      </c>
      <c r="B58" s="16" t="str">
        <f>IF(IFERROR(HLOOKUP(B$2,$M$2:$BL58,$J58,FALSE),"")="","",IFERROR(HLOOKUP(B$2,$M$2:$BL58,$J58,FALSE),""))</f>
        <v/>
      </c>
      <c r="C58" s="16" t="str">
        <f>IF(IFERROR(HLOOKUP(C$2,$M$2:$BL58,$J58,FALSE),"")="","",IFERROR(HLOOKUP(C$2,$M$2:$BL58,$J58,FALSE),""))</f>
        <v/>
      </c>
      <c r="D58" s="16" t="str">
        <f>IF(IFERROR(HLOOKUP(D$2,$M$2:$BL58,$J58,FALSE),"")="","",IFERROR(HLOOKUP(D$2,$M$2:$BL58,$J58,FALSE),""))</f>
        <v/>
      </c>
      <c r="E58" s="16" t="str">
        <f>IF(IFERROR(HLOOKUP(E$2,$M$2:$BL58,$J58,FALSE),"")="","",IFERROR(HLOOKUP(E$2,$M$2:$BL58,$J58,FALSE),""))</f>
        <v/>
      </c>
      <c r="F58" s="16" t="str">
        <f>IF(IFERROR(HLOOKUP(F$2,$M$2:$BL58,$J58,FALSE),"")="","",IFERROR(HLOOKUP(F$2,$M$2:$BL58,$J58,FALSE),""))</f>
        <v/>
      </c>
      <c r="G58" s="16" t="str">
        <f>IF(IFERROR(HLOOKUP(G$2,$M$2:$BL58,$J58,FALSE),"")="","",IFERROR(HLOOKUP(G$2,$M$2:$BL58,$J58,FALSE),""))</f>
        <v/>
      </c>
      <c r="J58" s="17">
        <f t="shared" si="0"/>
        <v>57</v>
      </c>
      <c r="L58" s="16" t="s">
        <v>63</v>
      </c>
      <c r="M58" s="16" t="s">
        <v>350</v>
      </c>
      <c r="N58" s="16" t="s">
        <v>118</v>
      </c>
      <c r="O58" s="16" t="s">
        <v>341</v>
      </c>
      <c r="P58" s="16" t="s">
        <v>351</v>
      </c>
      <c r="Q58" s="16" t="s">
        <v>343</v>
      </c>
      <c r="R58" s="16" t="s">
        <v>344</v>
      </c>
      <c r="S58" s="16" t="s">
        <v>345</v>
      </c>
      <c r="T58" s="16" t="s">
        <v>352</v>
      </c>
      <c r="V58" s="16" t="s">
        <v>353</v>
      </c>
      <c r="W58" s="16" t="s">
        <v>354</v>
      </c>
      <c r="X58" s="16" t="s">
        <v>355</v>
      </c>
      <c r="Y58" s="16" t="s">
        <v>355</v>
      </c>
      <c r="Z58" s="16" t="s">
        <v>349</v>
      </c>
    </row>
    <row r="59" spans="1:26" ht="15" customHeight="1">
      <c r="A59" s="16" t="str">
        <f t="shared" si="6"/>
        <v>BBB</v>
      </c>
      <c r="B59" s="16" t="str">
        <f>IF(IFERROR(HLOOKUP(B$2,$M$2:$BL59,$J59,FALSE),"")="","",IFERROR(HLOOKUP(B$2,$M$2:$BL59,$J59,FALSE),""))</f>
        <v/>
      </c>
      <c r="C59" s="16" t="str">
        <f>IF(IFERROR(HLOOKUP(C$2,$M$2:$BL59,$J59,FALSE),"")="","",IFERROR(HLOOKUP(C$2,$M$2:$BL59,$J59,FALSE),""))</f>
        <v/>
      </c>
      <c r="D59" s="16" t="str">
        <f>IF(IFERROR(HLOOKUP(D$2,$M$2:$BL59,$J59,FALSE),"")="","",IFERROR(HLOOKUP(D$2,$M$2:$BL59,$J59,FALSE),""))</f>
        <v/>
      </c>
      <c r="E59" s="16" t="str">
        <f>IF(IFERROR(HLOOKUP(E$2,$M$2:$BL59,$J59,FALSE),"")="","",IFERROR(HLOOKUP(E$2,$M$2:$BL59,$J59,FALSE),""))</f>
        <v/>
      </c>
      <c r="F59" s="16" t="str">
        <f>IF(IFERROR(HLOOKUP(F$2,$M$2:$BL59,$J59,FALSE),"")="","",IFERROR(HLOOKUP(F$2,$M$2:$BL59,$J59,FALSE),""))</f>
        <v/>
      </c>
      <c r="G59" s="16" t="str">
        <f>IF(IFERROR(HLOOKUP(G$2,$M$2:$BL59,$J59,FALSE),"")="","",IFERROR(HLOOKUP(G$2,$M$2:$BL59,$J59,FALSE),""))</f>
        <v/>
      </c>
      <c r="J59" s="17">
        <f t="shared" si="0"/>
        <v>58</v>
      </c>
      <c r="L59" s="16" t="s">
        <v>72</v>
      </c>
      <c r="M59" s="16" t="s">
        <v>356</v>
      </c>
      <c r="N59" s="16" t="s">
        <v>132</v>
      </c>
      <c r="O59" s="16" t="s">
        <v>357</v>
      </c>
      <c r="P59" s="16" t="s">
        <v>358</v>
      </c>
      <c r="Q59" s="16" t="s">
        <v>343</v>
      </c>
      <c r="R59" s="16" t="s">
        <v>359</v>
      </c>
      <c r="S59" s="16" t="s">
        <v>360</v>
      </c>
      <c r="T59" s="16" t="s">
        <v>361</v>
      </c>
      <c r="V59" s="16" t="s">
        <v>362</v>
      </c>
      <c r="W59" s="16" t="s">
        <v>363</v>
      </c>
      <c r="X59" s="16" t="s">
        <v>364</v>
      </c>
      <c r="Y59" s="16" t="s">
        <v>364</v>
      </c>
      <c r="Z59" s="16" t="s">
        <v>365</v>
      </c>
    </row>
    <row r="60" spans="1:26" ht="15" customHeight="1">
      <c r="A60" s="16" t="str">
        <f t="shared" si="6"/>
        <v>BB</v>
      </c>
      <c r="B60" s="16" t="str">
        <f>IF(IFERROR(HLOOKUP(B$2,$M$2:$BL60,$J60,FALSE),"")="","",IFERROR(HLOOKUP(B$2,$M$2:$BL60,$J60,FALSE),""))</f>
        <v/>
      </c>
      <c r="C60" s="16" t="str">
        <f>IF(IFERROR(HLOOKUP(C$2,$M$2:$BL60,$J60,FALSE),"")="","",IFERROR(HLOOKUP(C$2,$M$2:$BL60,$J60,FALSE),""))</f>
        <v/>
      </c>
      <c r="D60" s="16" t="str">
        <f>IF(IFERROR(HLOOKUP(D$2,$M$2:$BL60,$J60,FALSE),"")="","",IFERROR(HLOOKUP(D$2,$M$2:$BL60,$J60,FALSE),""))</f>
        <v/>
      </c>
      <c r="E60" s="16" t="str">
        <f>IF(IFERROR(HLOOKUP(E$2,$M$2:$BL60,$J60,FALSE),"")="","",IFERROR(HLOOKUP(E$2,$M$2:$BL60,$J60,FALSE),""))</f>
        <v/>
      </c>
      <c r="F60" s="16" t="str">
        <f>IF(IFERROR(HLOOKUP(F$2,$M$2:$BL60,$J60,FALSE),"")="","",IFERROR(HLOOKUP(F$2,$M$2:$BL60,$J60,FALSE),""))</f>
        <v/>
      </c>
      <c r="G60" s="16" t="str">
        <f>IF(IFERROR(HLOOKUP(G$2,$M$2:$BL60,$J60,FALSE),"")="","",IFERROR(HLOOKUP(G$2,$M$2:$BL60,$J60,FALSE),""))</f>
        <v/>
      </c>
      <c r="J60" s="17">
        <f t="shared" si="0"/>
        <v>59</v>
      </c>
      <c r="L60" s="16" t="s">
        <v>94</v>
      </c>
      <c r="M60" s="16" t="s">
        <v>366</v>
      </c>
      <c r="N60" s="16" t="s">
        <v>146</v>
      </c>
      <c r="O60" s="16" t="s">
        <v>367</v>
      </c>
      <c r="P60" s="16" t="s">
        <v>368</v>
      </c>
      <c r="Q60" s="16" t="s">
        <v>369</v>
      </c>
      <c r="R60" s="16" t="s">
        <v>370</v>
      </c>
      <c r="S60" s="16" t="s">
        <v>371</v>
      </c>
      <c r="T60" s="16" t="s">
        <v>372</v>
      </c>
      <c r="V60" s="16" t="s">
        <v>373</v>
      </c>
      <c r="W60" s="16" t="s">
        <v>374</v>
      </c>
      <c r="X60" s="16" t="s">
        <v>375</v>
      </c>
      <c r="Y60" s="16" t="s">
        <v>375</v>
      </c>
      <c r="Z60" s="16" t="s">
        <v>376</v>
      </c>
    </row>
    <row r="61" spans="1:26" ht="15" customHeight="1">
      <c r="A61" s="16" t="str">
        <f t="shared" si="6"/>
        <v>B</v>
      </c>
      <c r="B61" s="16" t="str">
        <f>IF(IFERROR(HLOOKUP(B$2,$M$2:$BL61,$J61,FALSE),"")="","",IFERROR(HLOOKUP(B$2,$M$2:$BL61,$J61,FALSE),""))</f>
        <v/>
      </c>
      <c r="C61" s="16" t="str">
        <f>IF(IFERROR(HLOOKUP(C$2,$M$2:$BL61,$J61,FALSE),"")="","",IFERROR(HLOOKUP(C$2,$M$2:$BL61,$J61,FALSE),""))</f>
        <v/>
      </c>
      <c r="D61" s="16" t="str">
        <f>IF(IFERROR(HLOOKUP(D$2,$M$2:$BL61,$J61,FALSE),"")="","",IFERROR(HLOOKUP(D$2,$M$2:$BL61,$J61,FALSE),""))</f>
        <v/>
      </c>
      <c r="E61" s="16" t="str">
        <f>IF(IFERROR(HLOOKUP(E$2,$M$2:$BL61,$J61,FALSE),"")="","",IFERROR(HLOOKUP(E$2,$M$2:$BL61,$J61,FALSE),""))</f>
        <v/>
      </c>
      <c r="F61" s="16" t="str">
        <f>IF(IFERROR(HLOOKUP(F$2,$M$2:$BL61,$J61,FALSE),"")="","",IFERROR(HLOOKUP(F$2,$M$2:$BL61,$J61,FALSE),""))</f>
        <v/>
      </c>
      <c r="G61" s="16" t="str">
        <f>IF(IFERROR(HLOOKUP(G$2,$M$2:$BL61,$J61,FALSE),"")="","",IFERROR(HLOOKUP(G$2,$M$2:$BL61,$J61,FALSE),""))</f>
        <v/>
      </c>
      <c r="J61" s="17">
        <f t="shared" si="0"/>
        <v>60</v>
      </c>
      <c r="L61" s="16" t="s">
        <v>136</v>
      </c>
      <c r="M61" s="16" t="s">
        <v>377</v>
      </c>
      <c r="N61" s="16" t="s">
        <v>291</v>
      </c>
      <c r="O61" s="16" t="s">
        <v>378</v>
      </c>
      <c r="P61" s="16" t="s">
        <v>379</v>
      </c>
      <c r="Q61" s="16" t="s">
        <v>369</v>
      </c>
      <c r="R61" s="16" t="s">
        <v>380</v>
      </c>
      <c r="S61" s="16" t="s">
        <v>381</v>
      </c>
      <c r="T61" s="16" t="s">
        <v>382</v>
      </c>
      <c r="V61" s="16" t="s">
        <v>383</v>
      </c>
      <c r="W61" s="16" t="s">
        <v>384</v>
      </c>
      <c r="X61" s="16" t="s">
        <v>375</v>
      </c>
      <c r="Y61" s="16" t="s">
        <v>375</v>
      </c>
      <c r="Z61" s="16" t="s">
        <v>385</v>
      </c>
    </row>
    <row r="62" spans="1:26" ht="15" customHeight="1">
      <c r="A62" s="16" t="str">
        <f t="shared" si="6"/>
        <v>CCC and below</v>
      </c>
      <c r="B62" s="16" t="str">
        <f>IF(IFERROR(HLOOKUP(B$2,$M$2:$BL62,$J62,FALSE),"")="","",IFERROR(HLOOKUP(B$2,$M$2:$BL62,$J62,FALSE),""))</f>
        <v/>
      </c>
      <c r="C62" s="16" t="str">
        <f>IF(IFERROR(HLOOKUP(C$2,$M$2:$BL62,$J62,FALSE),"")="","",IFERROR(HLOOKUP(C$2,$M$2:$BL62,$J62,FALSE),""))</f>
        <v/>
      </c>
      <c r="D62" s="16" t="str">
        <f>IF(IFERROR(HLOOKUP(D$2,$M$2:$BL62,$J62,FALSE),"")="","",IFERROR(HLOOKUP(D$2,$M$2:$BL62,$J62,FALSE),""))</f>
        <v/>
      </c>
      <c r="E62" s="16" t="str">
        <f>IF(IFERROR(HLOOKUP(E$2,$M$2:$BL62,$J62,FALSE),"")="","",IFERROR(HLOOKUP(E$2,$M$2:$BL62,$J62,FALSE),""))</f>
        <v/>
      </c>
      <c r="F62" s="16" t="str">
        <f>IF(IFERROR(HLOOKUP(F$2,$M$2:$BL62,$J62,FALSE),"")="","",IFERROR(HLOOKUP(F$2,$M$2:$BL62,$J62,FALSE),""))</f>
        <v/>
      </c>
      <c r="G62" s="16" t="str">
        <f>IF(IFERROR(HLOOKUP(G$2,$M$2:$BL62,$J62,FALSE),"")="","",IFERROR(HLOOKUP(G$2,$M$2:$BL62,$J62,FALSE),""))</f>
        <v/>
      </c>
      <c r="J62" s="17">
        <f t="shared" si="0"/>
        <v>61</v>
      </c>
      <c r="L62" s="16" t="s">
        <v>163</v>
      </c>
      <c r="M62" s="16" t="s">
        <v>386</v>
      </c>
      <c r="N62" s="16" t="s">
        <v>295</v>
      </c>
      <c r="O62" s="16" t="s">
        <v>387</v>
      </c>
      <c r="P62" s="16" t="s">
        <v>388</v>
      </c>
      <c r="Q62" s="16" t="s">
        <v>389</v>
      </c>
      <c r="R62" s="16" t="s">
        <v>390</v>
      </c>
      <c r="S62" s="16" t="s">
        <v>381</v>
      </c>
      <c r="T62" s="16" t="s">
        <v>103</v>
      </c>
      <c r="V62" s="16" t="s">
        <v>103</v>
      </c>
      <c r="W62" s="16" t="s">
        <v>384</v>
      </c>
      <c r="X62" s="16" t="s">
        <v>103</v>
      </c>
      <c r="Y62" s="16" t="s">
        <v>103</v>
      </c>
      <c r="Z62" s="16" t="s">
        <v>385</v>
      </c>
    </row>
    <row r="63" spans="1:26" s="19" customFormat="1" ht="15" customHeight="1">
      <c r="A63" s="22" t="str">
        <f>+K63</f>
        <v>Factor 2</v>
      </c>
      <c r="B63" s="22" t="str">
        <f>IF(IFERROR(HLOOKUP(B$2,$M$2:$BL63,$J63,FALSE),"")="","",IFERROR(HLOOKUP(B$2,$M$2:$BL63,$J63,FALSE),""))</f>
        <v/>
      </c>
      <c r="C63" s="22" t="str">
        <f>IF(IFERROR(HLOOKUP(C$2,$M$2:$BL63,$J63,FALSE),"")="","",IFERROR(HLOOKUP(C$2,$M$2:$BL63,$J63,FALSE),""))</f>
        <v/>
      </c>
      <c r="D63" s="22" t="str">
        <f>IF(IFERROR(HLOOKUP(D$2,$M$2:$BL63,$J63,FALSE),"")="","",IFERROR(HLOOKUP(D$2,$M$2:$BL63,$J63,FALSE),""))</f>
        <v/>
      </c>
      <c r="E63" s="22" t="str">
        <f>IF(IFERROR(HLOOKUP(E$2,$M$2:$BL63,$J63,FALSE),"")="","",IFERROR(HLOOKUP(E$2,$M$2:$BL63,$J63,FALSE),""))</f>
        <v/>
      </c>
      <c r="F63" s="22" t="str">
        <f>IF(IFERROR(HLOOKUP(F$2,$M$2:$BL63,$J63,FALSE),"")="","",IFERROR(HLOOKUP(F$2,$M$2:$BL63,$J63,FALSE),""))</f>
        <v/>
      </c>
      <c r="G63" s="22" t="str">
        <f>IF(IFERROR(HLOOKUP(G$2,$M$2:$BL63,$J63,FALSE),"")="","",IFERROR(HLOOKUP(G$2,$M$2:$BL63,$J63,FALSE),""))</f>
        <v/>
      </c>
      <c r="H63" s="22"/>
      <c r="J63" s="20">
        <f t="shared" si="0"/>
        <v>62</v>
      </c>
      <c r="K63" s="19" t="s">
        <v>173</v>
      </c>
      <c r="M63" s="19" t="s">
        <v>391</v>
      </c>
      <c r="N63" s="19" t="s">
        <v>392</v>
      </c>
      <c r="O63" s="19" t="s">
        <v>393</v>
      </c>
      <c r="P63" s="19" t="s">
        <v>394</v>
      </c>
      <c r="Q63" s="19" t="s">
        <v>395</v>
      </c>
      <c r="R63" s="19" t="s">
        <v>396</v>
      </c>
      <c r="S63" s="19" t="s">
        <v>397</v>
      </c>
      <c r="T63" s="19" t="s">
        <v>398</v>
      </c>
      <c r="V63" s="19" t="s">
        <v>399</v>
      </c>
      <c r="W63" s="19" t="s">
        <v>400</v>
      </c>
      <c r="X63" s="19" t="s">
        <v>401</v>
      </c>
      <c r="Y63" s="19" t="s">
        <v>402</v>
      </c>
      <c r="Z63" s="19" t="s">
        <v>336</v>
      </c>
    </row>
    <row r="64" spans="1:26" ht="15" customHeight="1">
      <c r="A64" s="16" t="str">
        <f t="shared" ref="A64:A69" si="7">+L64</f>
        <v>AA and above</v>
      </c>
      <c r="B64" s="16" t="str">
        <f>IF(IFERROR(HLOOKUP(B$2,$M$2:$BL64,$J64,FALSE),"")="","",IFERROR(HLOOKUP(B$2,$M$2:$BL64,$J64,FALSE),""))</f>
        <v/>
      </c>
      <c r="C64" s="16" t="str">
        <f>IF(IFERROR(HLOOKUP(C$2,$M$2:$BL64,$J64,FALSE),"")="","",IFERROR(HLOOKUP(C$2,$M$2:$BL64,$J64,FALSE),""))</f>
        <v/>
      </c>
      <c r="D64" s="16" t="str">
        <f>IF(IFERROR(HLOOKUP(D$2,$M$2:$BL64,$J64,FALSE),"")="","",IFERROR(HLOOKUP(D$2,$M$2:$BL64,$J64,FALSE),""))</f>
        <v/>
      </c>
      <c r="E64" s="16" t="str">
        <f>IF(IFERROR(HLOOKUP(E$2,$M$2:$BL64,$J64,FALSE),"")="","",IFERROR(HLOOKUP(E$2,$M$2:$BL64,$J64,FALSE),""))</f>
        <v/>
      </c>
      <c r="F64" s="16" t="str">
        <f>IF(IFERROR(HLOOKUP(F$2,$M$2:$BL64,$J64,FALSE),"")="","",IFERROR(HLOOKUP(F$2,$M$2:$BL64,$J64,FALSE),""))</f>
        <v/>
      </c>
      <c r="G64" s="16" t="str">
        <f>IF(IFERROR(HLOOKUP(G$2,$M$2:$BL64,$J64,FALSE),"")="","",IFERROR(HLOOKUP(G$2,$M$2:$BL64,$J64,FALSE),""))</f>
        <v/>
      </c>
      <c r="J64" s="17">
        <f t="shared" si="0"/>
        <v>63</v>
      </c>
      <c r="L64" s="16" t="s">
        <v>30</v>
      </c>
      <c r="M64" s="16" t="s">
        <v>403</v>
      </c>
      <c r="N64" s="16" t="s">
        <v>104</v>
      </c>
      <c r="O64" s="16" t="s">
        <v>404</v>
      </c>
      <c r="P64" s="16" t="s">
        <v>405</v>
      </c>
      <c r="Q64" s="16" t="s">
        <v>406</v>
      </c>
      <c r="R64" s="16" t="s">
        <v>407</v>
      </c>
      <c r="S64" s="21" t="s">
        <v>408</v>
      </c>
      <c r="T64" s="16" t="s">
        <v>409</v>
      </c>
      <c r="V64" s="16" t="s">
        <v>103</v>
      </c>
      <c r="W64" s="16" t="s">
        <v>410</v>
      </c>
      <c r="X64" s="16" t="s">
        <v>411</v>
      </c>
      <c r="Y64" s="16" t="s">
        <v>412</v>
      </c>
      <c r="Z64" s="16" t="s">
        <v>413</v>
      </c>
    </row>
    <row r="65" spans="1:26" ht="15" customHeight="1">
      <c r="A65" s="16" t="str">
        <f t="shared" si="7"/>
        <v>A</v>
      </c>
      <c r="B65" s="16" t="str">
        <f>IF(IFERROR(HLOOKUP(B$2,$M$2:$BL65,$J65,FALSE),"")="","",IFERROR(HLOOKUP(B$2,$M$2:$BL65,$J65,FALSE),""))</f>
        <v/>
      </c>
      <c r="C65" s="16" t="str">
        <f>IF(IFERROR(HLOOKUP(C$2,$M$2:$BL65,$J65,FALSE),"")="","",IFERROR(HLOOKUP(C$2,$M$2:$BL65,$J65,FALSE),""))</f>
        <v/>
      </c>
      <c r="D65" s="16" t="str">
        <f>IF(IFERROR(HLOOKUP(D$2,$M$2:$BL65,$J65,FALSE),"")="","",IFERROR(HLOOKUP(D$2,$M$2:$BL65,$J65,FALSE),""))</f>
        <v/>
      </c>
      <c r="E65" s="16" t="str">
        <f>IF(IFERROR(HLOOKUP(E$2,$M$2:$BL65,$J65,FALSE),"")="","",IFERROR(HLOOKUP(E$2,$M$2:$BL65,$J65,FALSE),""))</f>
        <v/>
      </c>
      <c r="F65" s="16" t="str">
        <f>IF(IFERROR(HLOOKUP(F$2,$M$2:$BL65,$J65,FALSE),"")="","",IFERROR(HLOOKUP(F$2,$M$2:$BL65,$J65,FALSE),""))</f>
        <v/>
      </c>
      <c r="G65" s="16" t="str">
        <f>IF(IFERROR(HLOOKUP(G$2,$M$2:$BL65,$J65,FALSE),"")="","",IFERROR(HLOOKUP(G$2,$M$2:$BL65,$J65,FALSE),""))</f>
        <v/>
      </c>
      <c r="J65" s="17">
        <f t="shared" si="0"/>
        <v>64</v>
      </c>
      <c r="L65" s="16" t="s">
        <v>63</v>
      </c>
      <c r="M65" s="16" t="s">
        <v>403</v>
      </c>
      <c r="N65" s="16" t="s">
        <v>118</v>
      </c>
      <c r="O65" s="16" t="s">
        <v>414</v>
      </c>
      <c r="P65" s="16" t="s">
        <v>405</v>
      </c>
      <c r="Q65" s="16" t="s">
        <v>415</v>
      </c>
      <c r="R65" s="16" t="s">
        <v>407</v>
      </c>
      <c r="S65" s="21" t="s">
        <v>408</v>
      </c>
      <c r="T65" s="16" t="s">
        <v>416</v>
      </c>
      <c r="V65" s="16" t="s">
        <v>417</v>
      </c>
      <c r="W65" s="16" t="s">
        <v>418</v>
      </c>
      <c r="X65" s="16" t="s">
        <v>260</v>
      </c>
      <c r="Y65" s="16" t="s">
        <v>419</v>
      </c>
      <c r="Z65" s="16" t="s">
        <v>420</v>
      </c>
    </row>
    <row r="66" spans="1:26" ht="15" customHeight="1">
      <c r="A66" s="16" t="str">
        <f t="shared" si="7"/>
        <v>BBB</v>
      </c>
      <c r="B66" s="16" t="str">
        <f>IF(IFERROR(HLOOKUP(B$2,$M$2:$BL66,$J66,FALSE),"")="","",IFERROR(HLOOKUP(B$2,$M$2:$BL66,$J66,FALSE),""))</f>
        <v/>
      </c>
      <c r="C66" s="16" t="str">
        <f>IF(IFERROR(HLOOKUP(C$2,$M$2:$BL66,$J66,FALSE),"")="","",IFERROR(HLOOKUP(C$2,$M$2:$BL66,$J66,FALSE),""))</f>
        <v/>
      </c>
      <c r="D66" s="16" t="str">
        <f>IF(IFERROR(HLOOKUP(D$2,$M$2:$BL66,$J66,FALSE),"")="","",IFERROR(HLOOKUP(D$2,$M$2:$BL66,$J66,FALSE),""))</f>
        <v/>
      </c>
      <c r="E66" s="16" t="str">
        <f>IF(IFERROR(HLOOKUP(E$2,$M$2:$BL66,$J66,FALSE),"")="","",IFERROR(HLOOKUP(E$2,$M$2:$BL66,$J66,FALSE),""))</f>
        <v/>
      </c>
      <c r="F66" s="16" t="str">
        <f>IF(IFERROR(HLOOKUP(F$2,$M$2:$BL66,$J66,FALSE),"")="","",IFERROR(HLOOKUP(F$2,$M$2:$BL66,$J66,FALSE),""))</f>
        <v/>
      </c>
      <c r="G66" s="16" t="str">
        <f>IF(IFERROR(HLOOKUP(G$2,$M$2:$BL66,$J66,FALSE),"")="","",IFERROR(HLOOKUP(G$2,$M$2:$BL66,$J66,FALSE),""))</f>
        <v/>
      </c>
      <c r="J66" s="17">
        <f t="shared" si="0"/>
        <v>65</v>
      </c>
      <c r="L66" s="16" t="s">
        <v>72</v>
      </c>
      <c r="M66" s="16" t="s">
        <v>421</v>
      </c>
      <c r="N66" s="16" t="s">
        <v>132</v>
      </c>
      <c r="O66" s="16" t="s">
        <v>422</v>
      </c>
      <c r="P66" s="16" t="s">
        <v>423</v>
      </c>
      <c r="Q66" s="16" t="s">
        <v>424</v>
      </c>
      <c r="R66" s="16" t="s">
        <v>425</v>
      </c>
      <c r="S66" s="21" t="s">
        <v>426</v>
      </c>
      <c r="T66" s="16" t="s">
        <v>427</v>
      </c>
      <c r="V66" s="16" t="s">
        <v>428</v>
      </c>
      <c r="W66" s="16" t="s">
        <v>291</v>
      </c>
      <c r="X66" s="16" t="s">
        <v>266</v>
      </c>
      <c r="Y66" s="16" t="s">
        <v>429</v>
      </c>
      <c r="Z66" s="16" t="s">
        <v>430</v>
      </c>
    </row>
    <row r="67" spans="1:26" ht="15" customHeight="1">
      <c r="A67" s="16" t="str">
        <f t="shared" si="7"/>
        <v>BB</v>
      </c>
      <c r="B67" s="16" t="str">
        <f>IF(IFERROR(HLOOKUP(B$2,$M$2:$BL67,$J67,FALSE),"")="","",IFERROR(HLOOKUP(B$2,$M$2:$BL67,$J67,FALSE),""))</f>
        <v/>
      </c>
      <c r="C67" s="16" t="str">
        <f>IF(IFERROR(HLOOKUP(C$2,$M$2:$BL67,$J67,FALSE),"")="","",IFERROR(HLOOKUP(C$2,$M$2:$BL67,$J67,FALSE),""))</f>
        <v/>
      </c>
      <c r="D67" s="16" t="str">
        <f>IF(IFERROR(HLOOKUP(D$2,$M$2:$BL67,$J67,FALSE),"")="","",IFERROR(HLOOKUP(D$2,$M$2:$BL67,$J67,FALSE),""))</f>
        <v/>
      </c>
      <c r="E67" s="16" t="str">
        <f>IF(IFERROR(HLOOKUP(E$2,$M$2:$BL67,$J67,FALSE),"")="","",IFERROR(HLOOKUP(E$2,$M$2:$BL67,$J67,FALSE),""))</f>
        <v/>
      </c>
      <c r="F67" s="16" t="str">
        <f>IF(IFERROR(HLOOKUP(F$2,$M$2:$BL67,$J67,FALSE),"")="","",IFERROR(HLOOKUP(F$2,$M$2:$BL67,$J67,FALSE),""))</f>
        <v/>
      </c>
      <c r="G67" s="16" t="str">
        <f>IF(IFERROR(HLOOKUP(G$2,$M$2:$BL67,$J67,FALSE),"")="","",IFERROR(HLOOKUP(G$2,$M$2:$BL67,$J67,FALSE),""))</f>
        <v/>
      </c>
      <c r="J67" s="17">
        <f t="shared" ref="J67:J130" si="8">+J66+1</f>
        <v>66</v>
      </c>
      <c r="L67" s="16" t="s">
        <v>94</v>
      </c>
      <c r="M67" s="16" t="s">
        <v>431</v>
      </c>
      <c r="N67" s="16" t="s">
        <v>146</v>
      </c>
      <c r="O67" s="16" t="s">
        <v>432</v>
      </c>
      <c r="P67" s="16" t="s">
        <v>433</v>
      </c>
      <c r="Q67" s="16" t="s">
        <v>434</v>
      </c>
      <c r="R67" s="16" t="s">
        <v>435</v>
      </c>
      <c r="S67" s="21" t="s">
        <v>436</v>
      </c>
      <c r="T67" s="16" t="s">
        <v>437</v>
      </c>
      <c r="V67" s="16" t="s">
        <v>438</v>
      </c>
      <c r="W67" s="16" t="s">
        <v>146</v>
      </c>
      <c r="X67" s="16" t="s">
        <v>439</v>
      </c>
      <c r="Y67" s="16" t="s">
        <v>440</v>
      </c>
      <c r="Z67" s="16" t="s">
        <v>441</v>
      </c>
    </row>
    <row r="68" spans="1:26" ht="15" customHeight="1">
      <c r="A68" s="16" t="str">
        <f t="shared" si="7"/>
        <v>B</v>
      </c>
      <c r="B68" s="16" t="str">
        <f>IF(IFERROR(HLOOKUP(B$2,$M$2:$BL68,$J68,FALSE),"")="","",IFERROR(HLOOKUP(B$2,$M$2:$BL68,$J68,FALSE),""))</f>
        <v/>
      </c>
      <c r="C68" s="16" t="str">
        <f>IF(IFERROR(HLOOKUP(C$2,$M$2:$BL68,$J68,FALSE),"")="","",IFERROR(HLOOKUP(C$2,$M$2:$BL68,$J68,FALSE),""))</f>
        <v/>
      </c>
      <c r="D68" s="16" t="str">
        <f>IF(IFERROR(HLOOKUP(D$2,$M$2:$BL68,$J68,FALSE),"")="","",IFERROR(HLOOKUP(D$2,$M$2:$BL68,$J68,FALSE),""))</f>
        <v/>
      </c>
      <c r="E68" s="16" t="str">
        <f>IF(IFERROR(HLOOKUP(E$2,$M$2:$BL68,$J68,FALSE),"")="","",IFERROR(HLOOKUP(E$2,$M$2:$BL68,$J68,FALSE),""))</f>
        <v/>
      </c>
      <c r="F68" s="16" t="str">
        <f>IF(IFERROR(HLOOKUP(F$2,$M$2:$BL68,$J68,FALSE),"")="","",IFERROR(HLOOKUP(F$2,$M$2:$BL68,$J68,FALSE),""))</f>
        <v/>
      </c>
      <c r="G68" s="16" t="str">
        <f>IF(IFERROR(HLOOKUP(G$2,$M$2:$BL68,$J68,FALSE),"")="","",IFERROR(HLOOKUP(G$2,$M$2:$BL68,$J68,FALSE),""))</f>
        <v/>
      </c>
      <c r="J68" s="17">
        <f t="shared" si="8"/>
        <v>67</v>
      </c>
      <c r="L68" s="16" t="s">
        <v>136</v>
      </c>
      <c r="M68" s="16" t="s">
        <v>442</v>
      </c>
      <c r="N68" s="16" t="s">
        <v>291</v>
      </c>
      <c r="O68" s="16" t="s">
        <v>443</v>
      </c>
      <c r="P68" s="16" t="s">
        <v>444</v>
      </c>
      <c r="Q68" s="16" t="s">
        <v>445</v>
      </c>
      <c r="R68" s="16" t="s">
        <v>446</v>
      </c>
      <c r="S68" s="21" t="s">
        <v>447</v>
      </c>
      <c r="T68" s="16" t="s">
        <v>448</v>
      </c>
      <c r="V68" s="16" t="s">
        <v>449</v>
      </c>
      <c r="W68" s="16" t="s">
        <v>450</v>
      </c>
      <c r="X68" s="16" t="s">
        <v>451</v>
      </c>
      <c r="Y68" s="16" t="s">
        <v>452</v>
      </c>
      <c r="Z68" s="16" t="s">
        <v>453</v>
      </c>
    </row>
    <row r="69" spans="1:26" ht="15" customHeight="1">
      <c r="A69" s="16" t="str">
        <f t="shared" si="7"/>
        <v>CCC and below</v>
      </c>
      <c r="B69" s="16" t="str">
        <f>IF(IFERROR(HLOOKUP(B$2,$M$2:$BL69,$J69,FALSE),"")="","",IFERROR(HLOOKUP(B$2,$M$2:$BL69,$J69,FALSE),""))</f>
        <v/>
      </c>
      <c r="C69" s="16" t="str">
        <f>IF(IFERROR(HLOOKUP(C$2,$M$2:$BL69,$J69,FALSE),"")="","",IFERROR(HLOOKUP(C$2,$M$2:$BL69,$J69,FALSE),""))</f>
        <v/>
      </c>
      <c r="D69" s="16" t="str">
        <f>IF(IFERROR(HLOOKUP(D$2,$M$2:$BL69,$J69,FALSE),"")="","",IFERROR(HLOOKUP(D$2,$M$2:$BL69,$J69,FALSE),""))</f>
        <v/>
      </c>
      <c r="E69" s="16" t="str">
        <f>IF(IFERROR(HLOOKUP(E$2,$M$2:$BL69,$J69,FALSE),"")="","",IFERROR(HLOOKUP(E$2,$M$2:$BL69,$J69,FALSE),""))</f>
        <v/>
      </c>
      <c r="F69" s="16" t="str">
        <f>IF(IFERROR(HLOOKUP(F$2,$M$2:$BL69,$J69,FALSE),"")="","",IFERROR(HLOOKUP(F$2,$M$2:$BL69,$J69,FALSE),""))</f>
        <v/>
      </c>
      <c r="G69" s="16" t="str">
        <f>IF(IFERROR(HLOOKUP(G$2,$M$2:$BL69,$J69,FALSE),"")="","",IFERROR(HLOOKUP(G$2,$M$2:$BL69,$J69,FALSE),""))</f>
        <v/>
      </c>
      <c r="J69" s="17">
        <f t="shared" si="8"/>
        <v>68</v>
      </c>
      <c r="L69" s="16" t="s">
        <v>163</v>
      </c>
      <c r="M69" s="16" t="s">
        <v>442</v>
      </c>
      <c r="N69" s="16" t="s">
        <v>295</v>
      </c>
      <c r="O69" s="16" t="s">
        <v>454</v>
      </c>
      <c r="P69" s="16" t="s">
        <v>444</v>
      </c>
      <c r="Q69" s="16" t="s">
        <v>445</v>
      </c>
      <c r="R69" s="16" t="s">
        <v>455</v>
      </c>
      <c r="S69" s="21" t="s">
        <v>456</v>
      </c>
      <c r="T69" s="16" t="s">
        <v>103</v>
      </c>
      <c r="V69" s="16" t="s">
        <v>103</v>
      </c>
      <c r="W69" s="16" t="s">
        <v>457</v>
      </c>
      <c r="X69" s="16" t="s">
        <v>103</v>
      </c>
      <c r="Y69" s="16" t="s">
        <v>103</v>
      </c>
      <c r="Z69" s="16" t="s">
        <v>453</v>
      </c>
    </row>
    <row r="70" spans="1:26" s="19" customFormat="1" ht="15" customHeight="1">
      <c r="A70" s="22" t="str">
        <f>+K70</f>
        <v>Factor 3</v>
      </c>
      <c r="B70" s="22" t="str">
        <f>IF(IFERROR(HLOOKUP(B$2,$M$2:$BL70,$J70,FALSE),"")="","",IFERROR(HLOOKUP(B$2,$M$2:$BL70,$J70,FALSE),""))</f>
        <v/>
      </c>
      <c r="C70" s="22" t="str">
        <f>IF(IFERROR(HLOOKUP(C$2,$M$2:$BL70,$J70,FALSE),"")="","",IFERROR(HLOOKUP(C$2,$M$2:$BL70,$J70,FALSE),""))</f>
        <v/>
      </c>
      <c r="D70" s="22" t="str">
        <f>IF(IFERROR(HLOOKUP(D$2,$M$2:$BL70,$J70,FALSE),"")="","",IFERROR(HLOOKUP(D$2,$M$2:$BL70,$J70,FALSE),""))</f>
        <v/>
      </c>
      <c r="E70" s="22" t="str">
        <f>IF(IFERROR(HLOOKUP(E$2,$M$2:$BL70,$J70,FALSE),"")="","",IFERROR(HLOOKUP(E$2,$M$2:$BL70,$J70,FALSE),""))</f>
        <v/>
      </c>
      <c r="F70" s="22" t="str">
        <f>IF(IFERROR(HLOOKUP(F$2,$M$2:$BL70,$J70,FALSE),"")="","",IFERROR(HLOOKUP(F$2,$M$2:$BL70,$J70,FALSE),""))</f>
        <v/>
      </c>
      <c r="G70" s="22" t="str">
        <f>IF(IFERROR(HLOOKUP(G$2,$M$2:$BL70,$J70,FALSE),"")="","",IFERROR(HLOOKUP(G$2,$M$2:$BL70,$J70,FALSE),""))</f>
        <v/>
      </c>
      <c r="H70" s="22"/>
      <c r="J70" s="20">
        <f t="shared" si="8"/>
        <v>69</v>
      </c>
      <c r="K70" s="19" t="s">
        <v>239</v>
      </c>
      <c r="M70" s="19" t="s">
        <v>458</v>
      </c>
      <c r="N70" s="19" t="s">
        <v>459</v>
      </c>
      <c r="O70" s="19" t="s">
        <v>460</v>
      </c>
      <c r="P70" s="19" t="s">
        <v>461</v>
      </c>
      <c r="Q70" s="19" t="s">
        <v>462</v>
      </c>
      <c r="R70" s="19" t="s">
        <v>463</v>
      </c>
      <c r="S70" s="19" t="s">
        <v>464</v>
      </c>
      <c r="T70" s="19" t="s">
        <v>465</v>
      </c>
      <c r="V70" s="19" t="s">
        <v>466</v>
      </c>
      <c r="W70" s="19" t="s">
        <v>467</v>
      </c>
      <c r="X70" s="29" t="s">
        <v>468</v>
      </c>
      <c r="Y70" s="19" t="s">
        <v>469</v>
      </c>
      <c r="Z70" s="19" t="s">
        <v>470</v>
      </c>
    </row>
    <row r="71" spans="1:26" ht="15" customHeight="1">
      <c r="A71" s="16" t="str">
        <f t="shared" ref="A71:A76" si="9">+L71</f>
        <v>AA and above</v>
      </c>
      <c r="B71" s="16" t="str">
        <f>IF(IFERROR(HLOOKUP(B$2,$M$2:$BL71,$J71,FALSE),"")="","",IFERROR(HLOOKUP(B$2,$M$2:$BL71,$J71,FALSE),""))</f>
        <v/>
      </c>
      <c r="C71" s="16" t="str">
        <f>IF(IFERROR(HLOOKUP(C$2,$M$2:$BL71,$J71,FALSE),"")="","",IFERROR(HLOOKUP(C$2,$M$2:$BL71,$J71,FALSE),""))</f>
        <v/>
      </c>
      <c r="D71" s="16" t="str">
        <f>IF(IFERROR(HLOOKUP(D$2,$M$2:$BL71,$J71,FALSE),"")="","",IFERROR(HLOOKUP(D$2,$M$2:$BL71,$J71,FALSE),""))</f>
        <v/>
      </c>
      <c r="E71" s="16" t="str">
        <f>IF(IFERROR(HLOOKUP(E$2,$M$2:$BL71,$J71,FALSE),"")="","",IFERROR(HLOOKUP(E$2,$M$2:$BL71,$J71,FALSE),""))</f>
        <v/>
      </c>
      <c r="F71" s="16" t="str">
        <f>IF(IFERROR(HLOOKUP(F$2,$M$2:$BL71,$J71,FALSE),"")="","",IFERROR(HLOOKUP(F$2,$M$2:$BL71,$J71,FALSE),""))</f>
        <v/>
      </c>
      <c r="G71" s="16" t="str">
        <f>IF(IFERROR(HLOOKUP(G$2,$M$2:$BL71,$J71,FALSE),"")="","",IFERROR(HLOOKUP(G$2,$M$2:$BL71,$J71,FALSE),""))</f>
        <v/>
      </c>
      <c r="J71" s="17">
        <f t="shared" si="8"/>
        <v>70</v>
      </c>
      <c r="L71" s="16" t="s">
        <v>30</v>
      </c>
      <c r="M71" s="16" t="s">
        <v>471</v>
      </c>
      <c r="N71" s="16" t="s">
        <v>472</v>
      </c>
      <c r="O71" s="16" t="s">
        <v>168</v>
      </c>
      <c r="P71" s="16" t="s">
        <v>473</v>
      </c>
      <c r="Q71" s="16" t="s">
        <v>168</v>
      </c>
      <c r="R71" s="16" t="s">
        <v>474</v>
      </c>
      <c r="S71" s="21" t="s">
        <v>436</v>
      </c>
      <c r="T71" s="16" t="s">
        <v>475</v>
      </c>
      <c r="V71" s="16" t="s">
        <v>103</v>
      </c>
      <c r="W71" s="16" t="s">
        <v>476</v>
      </c>
      <c r="X71" s="16" t="s">
        <v>192</v>
      </c>
      <c r="Y71" s="16" t="s">
        <v>224</v>
      </c>
      <c r="Z71" s="16" t="s">
        <v>477</v>
      </c>
    </row>
    <row r="72" spans="1:26" ht="15" customHeight="1">
      <c r="A72" s="16" t="str">
        <f t="shared" si="9"/>
        <v>A</v>
      </c>
      <c r="B72" s="16" t="str">
        <f>IF(IFERROR(HLOOKUP(B$2,$M$2:$BL72,$J72,FALSE),"")="","",IFERROR(HLOOKUP(B$2,$M$2:$BL72,$J72,FALSE),""))</f>
        <v/>
      </c>
      <c r="C72" s="16" t="str">
        <f>IF(IFERROR(HLOOKUP(C$2,$M$2:$BL72,$J72,FALSE),"")="","",IFERROR(HLOOKUP(C$2,$M$2:$BL72,$J72,FALSE),""))</f>
        <v/>
      </c>
      <c r="D72" s="16" t="str">
        <f>IF(IFERROR(HLOOKUP(D$2,$M$2:$BL72,$J72,FALSE),"")="","",IFERROR(HLOOKUP(D$2,$M$2:$BL72,$J72,FALSE),""))</f>
        <v/>
      </c>
      <c r="E72" s="16" t="str">
        <f>IF(IFERROR(HLOOKUP(E$2,$M$2:$BL72,$J72,FALSE),"")="","",IFERROR(HLOOKUP(E$2,$M$2:$BL72,$J72,FALSE),""))</f>
        <v/>
      </c>
      <c r="F72" s="16" t="str">
        <f>IF(IFERROR(HLOOKUP(F$2,$M$2:$BL72,$J72,FALSE),"")="","",IFERROR(HLOOKUP(F$2,$M$2:$BL72,$J72,FALSE),""))</f>
        <v/>
      </c>
      <c r="G72" s="16" t="str">
        <f>IF(IFERROR(HLOOKUP(G$2,$M$2:$BL72,$J72,FALSE),"")="","",IFERROR(HLOOKUP(G$2,$M$2:$BL72,$J72,FALSE),""))</f>
        <v/>
      </c>
      <c r="J72" s="17">
        <f t="shared" si="8"/>
        <v>71</v>
      </c>
      <c r="L72" s="16" t="s">
        <v>63</v>
      </c>
      <c r="M72" s="16" t="s">
        <v>478</v>
      </c>
      <c r="N72" s="16" t="s">
        <v>479</v>
      </c>
      <c r="O72" s="16" t="s">
        <v>168</v>
      </c>
      <c r="P72" s="16" t="s">
        <v>473</v>
      </c>
      <c r="Q72" s="16" t="s">
        <v>168</v>
      </c>
      <c r="R72" s="16" t="s">
        <v>474</v>
      </c>
      <c r="S72" s="21" t="s">
        <v>436</v>
      </c>
      <c r="T72" s="16" t="s">
        <v>475</v>
      </c>
      <c r="V72" s="16" t="s">
        <v>480</v>
      </c>
      <c r="W72" s="16" t="s">
        <v>481</v>
      </c>
      <c r="X72" s="16" t="s">
        <v>202</v>
      </c>
      <c r="Y72" s="16" t="s">
        <v>482</v>
      </c>
      <c r="Z72" s="16" t="s">
        <v>477</v>
      </c>
    </row>
    <row r="73" spans="1:26" ht="15" customHeight="1">
      <c r="A73" s="16" t="str">
        <f t="shared" si="9"/>
        <v>BBB</v>
      </c>
      <c r="B73" s="16" t="str">
        <f>IF(IFERROR(HLOOKUP(B$2,$M$2:$BL73,$J73,FALSE),"")="","",IFERROR(HLOOKUP(B$2,$M$2:$BL73,$J73,FALSE),""))</f>
        <v/>
      </c>
      <c r="C73" s="16" t="str">
        <f>IF(IFERROR(HLOOKUP(C$2,$M$2:$BL73,$J73,FALSE),"")="","",IFERROR(HLOOKUP(C$2,$M$2:$BL73,$J73,FALSE),""))</f>
        <v/>
      </c>
      <c r="D73" s="16" t="str">
        <f>IF(IFERROR(HLOOKUP(D$2,$M$2:$BL73,$J73,FALSE),"")="","",IFERROR(HLOOKUP(D$2,$M$2:$BL73,$J73,FALSE),""))</f>
        <v/>
      </c>
      <c r="E73" s="16" t="str">
        <f>IF(IFERROR(HLOOKUP(E$2,$M$2:$BL73,$J73,FALSE),"")="","",IFERROR(HLOOKUP(E$2,$M$2:$BL73,$J73,FALSE),""))</f>
        <v/>
      </c>
      <c r="F73" s="16" t="str">
        <f>IF(IFERROR(HLOOKUP(F$2,$M$2:$BL73,$J73,FALSE),"")="","",IFERROR(HLOOKUP(F$2,$M$2:$BL73,$J73,FALSE),""))</f>
        <v/>
      </c>
      <c r="G73" s="16" t="str">
        <f>IF(IFERROR(HLOOKUP(G$2,$M$2:$BL73,$J73,FALSE),"")="","",IFERROR(HLOOKUP(G$2,$M$2:$BL73,$J73,FALSE),""))</f>
        <v/>
      </c>
      <c r="J73" s="17">
        <f t="shared" si="8"/>
        <v>72</v>
      </c>
      <c r="L73" s="16" t="s">
        <v>72</v>
      </c>
      <c r="M73" s="16" t="s">
        <v>478</v>
      </c>
      <c r="N73" s="16" t="s">
        <v>483</v>
      </c>
      <c r="O73" s="16" t="s">
        <v>484</v>
      </c>
      <c r="P73" s="16" t="s">
        <v>485</v>
      </c>
      <c r="Q73" s="16" t="s">
        <v>486</v>
      </c>
      <c r="R73" s="16" t="s">
        <v>487</v>
      </c>
      <c r="S73" s="21" t="s">
        <v>447</v>
      </c>
      <c r="T73" s="16" t="s">
        <v>475</v>
      </c>
      <c r="V73" s="16" t="s">
        <v>488</v>
      </c>
      <c r="W73" s="16" t="s">
        <v>489</v>
      </c>
      <c r="X73" s="16" t="s">
        <v>490</v>
      </c>
      <c r="Y73" s="16" t="s">
        <v>491</v>
      </c>
      <c r="Z73" s="16" t="s">
        <v>492</v>
      </c>
    </row>
    <row r="74" spans="1:26" ht="15" customHeight="1">
      <c r="A74" s="16" t="str">
        <f t="shared" si="9"/>
        <v>BB</v>
      </c>
      <c r="B74" s="16" t="str">
        <f>IF(IFERROR(HLOOKUP(B$2,$M$2:$BL74,$J74,FALSE),"")="","",IFERROR(HLOOKUP(B$2,$M$2:$BL74,$J74,FALSE),""))</f>
        <v/>
      </c>
      <c r="C74" s="16" t="str">
        <f>IF(IFERROR(HLOOKUP(C$2,$M$2:$BL74,$J74,FALSE),"")="","",IFERROR(HLOOKUP(C$2,$M$2:$BL74,$J74,FALSE),""))</f>
        <v/>
      </c>
      <c r="D74" s="16" t="str">
        <f>IF(IFERROR(HLOOKUP(D$2,$M$2:$BL74,$J74,FALSE),"")="","",IFERROR(HLOOKUP(D$2,$M$2:$BL74,$J74,FALSE),""))</f>
        <v/>
      </c>
      <c r="E74" s="16" t="str">
        <f>IF(IFERROR(HLOOKUP(E$2,$M$2:$BL74,$J74,FALSE),"")="","",IFERROR(HLOOKUP(E$2,$M$2:$BL74,$J74,FALSE),""))</f>
        <v/>
      </c>
      <c r="F74" s="16" t="str">
        <f>IF(IFERROR(HLOOKUP(F$2,$M$2:$BL74,$J74,FALSE),"")="","",IFERROR(HLOOKUP(F$2,$M$2:$BL74,$J74,FALSE),""))</f>
        <v/>
      </c>
      <c r="G74" s="16" t="str">
        <f>IF(IFERROR(HLOOKUP(G$2,$M$2:$BL74,$J74,FALSE),"")="","",IFERROR(HLOOKUP(G$2,$M$2:$BL74,$J74,FALSE),""))</f>
        <v/>
      </c>
      <c r="J74" s="17">
        <f t="shared" si="8"/>
        <v>73</v>
      </c>
      <c r="L74" s="16" t="s">
        <v>94</v>
      </c>
      <c r="M74" s="16" t="s">
        <v>493</v>
      </c>
      <c r="N74" s="16" t="s">
        <v>494</v>
      </c>
      <c r="O74" s="16" t="s">
        <v>495</v>
      </c>
      <c r="P74" s="16" t="s">
        <v>496</v>
      </c>
      <c r="Q74" s="16" t="s">
        <v>497</v>
      </c>
      <c r="R74" s="16" t="s">
        <v>498</v>
      </c>
      <c r="S74" s="21" t="s">
        <v>499</v>
      </c>
      <c r="T74" s="16" t="s">
        <v>500</v>
      </c>
      <c r="V74" s="16" t="s">
        <v>501</v>
      </c>
      <c r="W74" s="16" t="s">
        <v>502</v>
      </c>
      <c r="X74" s="16" t="s">
        <v>503</v>
      </c>
      <c r="Y74" s="16" t="s">
        <v>504</v>
      </c>
      <c r="Z74" s="16" t="s">
        <v>492</v>
      </c>
    </row>
    <row r="75" spans="1:26" ht="15" customHeight="1">
      <c r="A75" s="16" t="str">
        <f t="shared" si="9"/>
        <v>B</v>
      </c>
      <c r="B75" s="16" t="str">
        <f>IF(IFERROR(HLOOKUP(B$2,$M$2:$BL75,$J75,FALSE),"")="","",IFERROR(HLOOKUP(B$2,$M$2:$BL75,$J75,FALSE),""))</f>
        <v/>
      </c>
      <c r="C75" s="16" t="str">
        <f>IF(IFERROR(HLOOKUP(C$2,$M$2:$BL75,$J75,FALSE),"")="","",IFERROR(HLOOKUP(C$2,$M$2:$BL75,$J75,FALSE),""))</f>
        <v/>
      </c>
      <c r="D75" s="16" t="str">
        <f>IF(IFERROR(HLOOKUP(D$2,$M$2:$BL75,$J75,FALSE),"")="","",IFERROR(HLOOKUP(D$2,$M$2:$BL75,$J75,FALSE),""))</f>
        <v/>
      </c>
      <c r="E75" s="16" t="str">
        <f>IF(IFERROR(HLOOKUP(E$2,$M$2:$BL75,$J75,FALSE),"")="","",IFERROR(HLOOKUP(E$2,$M$2:$BL75,$J75,FALSE),""))</f>
        <v/>
      </c>
      <c r="F75" s="16" t="str">
        <f>IF(IFERROR(HLOOKUP(F$2,$M$2:$BL75,$J75,FALSE),"")="","",IFERROR(HLOOKUP(F$2,$M$2:$BL75,$J75,FALSE),""))</f>
        <v/>
      </c>
      <c r="G75" s="16" t="str">
        <f>IF(IFERROR(HLOOKUP(G$2,$M$2:$BL75,$J75,FALSE),"")="","",IFERROR(HLOOKUP(G$2,$M$2:$BL75,$J75,FALSE),""))</f>
        <v/>
      </c>
      <c r="J75" s="17">
        <f t="shared" si="8"/>
        <v>74</v>
      </c>
      <c r="L75" s="16" t="s">
        <v>136</v>
      </c>
      <c r="M75" s="16" t="s">
        <v>493</v>
      </c>
      <c r="N75" s="16" t="s">
        <v>505</v>
      </c>
      <c r="O75" s="16" t="s">
        <v>506</v>
      </c>
      <c r="P75" s="16" t="s">
        <v>507</v>
      </c>
      <c r="Q75" s="16" t="s">
        <v>508</v>
      </c>
      <c r="R75" s="16" t="s">
        <v>509</v>
      </c>
      <c r="S75" s="21" t="s">
        <v>510</v>
      </c>
      <c r="T75" s="16" t="s">
        <v>500</v>
      </c>
      <c r="V75" s="16" t="s">
        <v>511</v>
      </c>
      <c r="W75" s="16" t="s">
        <v>512</v>
      </c>
      <c r="X75" s="30">
        <v>0</v>
      </c>
      <c r="Y75" s="16" t="s">
        <v>513</v>
      </c>
      <c r="Z75" s="16" t="s">
        <v>514</v>
      </c>
    </row>
    <row r="76" spans="1:26" ht="15" customHeight="1">
      <c r="A76" s="16" t="str">
        <f t="shared" si="9"/>
        <v>CCC and below</v>
      </c>
      <c r="B76" s="16" t="str">
        <f>IF(IFERROR(HLOOKUP(B$2,$M$2:$BL76,$J76,FALSE),"")="","",IFERROR(HLOOKUP(B$2,$M$2:$BL76,$J76,FALSE),""))</f>
        <v/>
      </c>
      <c r="C76" s="16" t="str">
        <f>IF(IFERROR(HLOOKUP(C$2,$M$2:$BL76,$J76,FALSE),"")="","",IFERROR(HLOOKUP(C$2,$M$2:$BL76,$J76,FALSE),""))</f>
        <v/>
      </c>
      <c r="D76" s="16" t="str">
        <f>IF(IFERROR(HLOOKUP(D$2,$M$2:$BL76,$J76,FALSE),"")="","",IFERROR(HLOOKUP(D$2,$M$2:$BL76,$J76,FALSE),""))</f>
        <v/>
      </c>
      <c r="E76" s="16" t="str">
        <f>IF(IFERROR(HLOOKUP(E$2,$M$2:$BL76,$J76,FALSE),"")="","",IFERROR(HLOOKUP(E$2,$M$2:$BL76,$J76,FALSE),""))</f>
        <v/>
      </c>
      <c r="F76" s="16" t="str">
        <f>IF(IFERROR(HLOOKUP(F$2,$M$2:$BL76,$J76,FALSE),"")="","",IFERROR(HLOOKUP(F$2,$M$2:$BL76,$J76,FALSE),""))</f>
        <v/>
      </c>
      <c r="G76" s="16" t="str">
        <f>IF(IFERROR(HLOOKUP(G$2,$M$2:$BL76,$J76,FALSE),"")="","",IFERROR(HLOOKUP(G$2,$M$2:$BL76,$J76,FALSE),""))</f>
        <v/>
      </c>
      <c r="J76" s="17">
        <f t="shared" si="8"/>
        <v>75</v>
      </c>
      <c r="L76" s="16" t="s">
        <v>163</v>
      </c>
      <c r="M76" s="16" t="s">
        <v>515</v>
      </c>
      <c r="N76" s="16" t="s">
        <v>516</v>
      </c>
      <c r="O76" s="16" t="s">
        <v>517</v>
      </c>
      <c r="P76" s="16" t="s">
        <v>518</v>
      </c>
      <c r="Q76" s="16" t="s">
        <v>519</v>
      </c>
      <c r="R76" s="16" t="s">
        <v>509</v>
      </c>
      <c r="S76" s="21" t="s">
        <v>520</v>
      </c>
      <c r="T76" s="16" t="s">
        <v>500</v>
      </c>
      <c r="V76" s="16" t="s">
        <v>103</v>
      </c>
      <c r="W76" s="16" t="s">
        <v>512</v>
      </c>
      <c r="X76" s="16" t="s">
        <v>103</v>
      </c>
      <c r="Y76" s="16" t="s">
        <v>103</v>
      </c>
      <c r="Z76" s="16" t="s">
        <v>521</v>
      </c>
    </row>
    <row r="77" spans="1:26" s="19" customFormat="1" ht="15" customHeight="1">
      <c r="A77" s="22" t="str">
        <f>+K77</f>
        <v>Factor 4</v>
      </c>
      <c r="B77" s="22" t="str">
        <f>IF(IFERROR(HLOOKUP(B$2,$M$2:$BL77,$J77,FALSE),"")="","",IFERROR(HLOOKUP(B$2,$M$2:$BL77,$J77,FALSE),""))</f>
        <v/>
      </c>
      <c r="C77" s="22" t="str">
        <f>IF(IFERROR(HLOOKUP(C$2,$M$2:$BL77,$J77,FALSE),"")="","",IFERROR(HLOOKUP(C$2,$M$2:$BL77,$J77,FALSE),""))</f>
        <v/>
      </c>
      <c r="D77" s="22" t="str">
        <f>IF(IFERROR(HLOOKUP(D$2,$M$2:$BL77,$J77,FALSE),"")="","",IFERROR(HLOOKUP(D$2,$M$2:$BL77,$J77,FALSE),""))</f>
        <v/>
      </c>
      <c r="E77" s="22" t="str">
        <f>IF(IFERROR(HLOOKUP(E$2,$M$2:$BL77,$J77,FALSE),"")="","",IFERROR(HLOOKUP(E$2,$M$2:$BL77,$J77,FALSE),""))</f>
        <v/>
      </c>
      <c r="F77" s="22" t="str">
        <f>IF(IFERROR(HLOOKUP(F$2,$M$2:$BL77,$J77,FALSE),"")="","",IFERROR(HLOOKUP(F$2,$M$2:$BL77,$J77,FALSE),""))</f>
        <v/>
      </c>
      <c r="G77" s="22" t="str">
        <f>IF(IFERROR(HLOOKUP(G$2,$M$2:$BL77,$J77,FALSE),"")="","",IFERROR(HLOOKUP(G$2,$M$2:$BL77,$J77,FALSE),""))</f>
        <v/>
      </c>
      <c r="H77" s="22"/>
      <c r="J77" s="20">
        <f t="shared" si="8"/>
        <v>76</v>
      </c>
      <c r="K77" s="19" t="s">
        <v>275</v>
      </c>
      <c r="N77" s="19" t="s">
        <v>522</v>
      </c>
      <c r="P77" s="19" t="s">
        <v>523</v>
      </c>
      <c r="R77" s="19" t="s">
        <v>523</v>
      </c>
      <c r="S77" s="19" t="s">
        <v>524</v>
      </c>
      <c r="T77" s="19" t="s">
        <v>525</v>
      </c>
      <c r="W77" s="19" t="s">
        <v>526</v>
      </c>
      <c r="X77" s="19" t="s">
        <v>527</v>
      </c>
      <c r="Y77" s="19" t="s">
        <v>528</v>
      </c>
    </row>
    <row r="78" spans="1:26" ht="15" customHeight="1">
      <c r="A78" s="16" t="str">
        <f t="shared" ref="A78:A83" si="10">+L78</f>
        <v>AA and above</v>
      </c>
      <c r="B78" s="16" t="str">
        <f>IF(IFERROR(HLOOKUP(B$2,$M$2:$BL78,$J78,FALSE),"")="","",IFERROR(HLOOKUP(B$2,$M$2:$BL78,$J78,FALSE),""))</f>
        <v/>
      </c>
      <c r="C78" s="16" t="str">
        <f>IF(IFERROR(HLOOKUP(C$2,$M$2:$BL78,$J78,FALSE),"")="","",IFERROR(HLOOKUP(C$2,$M$2:$BL78,$J78,FALSE),""))</f>
        <v/>
      </c>
      <c r="D78" s="16" t="str">
        <f>IF(IFERROR(HLOOKUP(D$2,$M$2:$BL78,$J78,FALSE),"")="","",IFERROR(HLOOKUP(D$2,$M$2:$BL78,$J78,FALSE),""))</f>
        <v/>
      </c>
      <c r="E78" s="16" t="str">
        <f>IF(IFERROR(HLOOKUP(E$2,$M$2:$BL78,$J78,FALSE),"")="","",IFERROR(HLOOKUP(E$2,$M$2:$BL78,$J78,FALSE),""))</f>
        <v/>
      </c>
      <c r="F78" s="16" t="str">
        <f>IF(IFERROR(HLOOKUP(F$2,$M$2:$BL78,$J78,FALSE),"")="","",IFERROR(HLOOKUP(F$2,$M$2:$BL78,$J78,FALSE),""))</f>
        <v/>
      </c>
      <c r="G78" s="16" t="str">
        <f>IF(IFERROR(HLOOKUP(G$2,$M$2:$BL78,$J78,FALSE),"")="","",IFERROR(HLOOKUP(G$2,$M$2:$BL78,$J78,FALSE),""))</f>
        <v/>
      </c>
      <c r="J78" s="17">
        <f t="shared" si="8"/>
        <v>77</v>
      </c>
      <c r="L78" s="16" t="s">
        <v>30</v>
      </c>
      <c r="N78" s="16" t="s">
        <v>412</v>
      </c>
      <c r="P78" s="16" t="s">
        <v>529</v>
      </c>
      <c r="R78" s="16" t="s">
        <v>530</v>
      </c>
      <c r="S78" s="16" t="s">
        <v>104</v>
      </c>
      <c r="T78" s="16" t="s">
        <v>531</v>
      </c>
      <c r="W78" s="16" t="s">
        <v>410</v>
      </c>
      <c r="X78" s="16" t="s">
        <v>532</v>
      </c>
      <c r="Y78" s="16" t="s">
        <v>533</v>
      </c>
    </row>
    <row r="79" spans="1:26" ht="15" customHeight="1">
      <c r="A79" s="16" t="str">
        <f t="shared" si="10"/>
        <v>A</v>
      </c>
      <c r="B79" s="16" t="str">
        <f>IF(IFERROR(HLOOKUP(B$2,$M$2:$BL79,$J79,FALSE),"")="","",IFERROR(HLOOKUP(B$2,$M$2:$BL79,$J79,FALSE),""))</f>
        <v/>
      </c>
      <c r="C79" s="16" t="str">
        <f>IF(IFERROR(HLOOKUP(C$2,$M$2:$BL79,$J79,FALSE),"")="","",IFERROR(HLOOKUP(C$2,$M$2:$BL79,$J79,FALSE),""))</f>
        <v/>
      </c>
      <c r="D79" s="16" t="str">
        <f>IF(IFERROR(HLOOKUP(D$2,$M$2:$BL79,$J79,FALSE),"")="","",IFERROR(HLOOKUP(D$2,$M$2:$BL79,$J79,FALSE),""))</f>
        <v/>
      </c>
      <c r="E79" s="16" t="str">
        <f>IF(IFERROR(HLOOKUP(E$2,$M$2:$BL79,$J79,FALSE),"")="","",IFERROR(HLOOKUP(E$2,$M$2:$BL79,$J79,FALSE),""))</f>
        <v/>
      </c>
      <c r="F79" s="16" t="str">
        <f>IF(IFERROR(HLOOKUP(F$2,$M$2:$BL79,$J79,FALSE),"")="","",IFERROR(HLOOKUP(F$2,$M$2:$BL79,$J79,FALSE),""))</f>
        <v/>
      </c>
      <c r="G79" s="16" t="str">
        <f>IF(IFERROR(HLOOKUP(G$2,$M$2:$BL79,$J79,FALSE),"")="","",IFERROR(HLOOKUP(G$2,$M$2:$BL79,$J79,FALSE),""))</f>
        <v/>
      </c>
      <c r="J79" s="17">
        <f t="shared" si="8"/>
        <v>78</v>
      </c>
      <c r="L79" s="16" t="s">
        <v>63</v>
      </c>
      <c r="N79" s="16" t="s">
        <v>412</v>
      </c>
      <c r="P79" s="16" t="s">
        <v>529</v>
      </c>
      <c r="R79" s="16" t="s">
        <v>530</v>
      </c>
      <c r="S79" s="16" t="s">
        <v>118</v>
      </c>
      <c r="T79" s="16" t="s">
        <v>534</v>
      </c>
      <c r="W79" s="16" t="s">
        <v>418</v>
      </c>
      <c r="X79" s="16" t="s">
        <v>535</v>
      </c>
      <c r="Y79" s="16" t="s">
        <v>536</v>
      </c>
    </row>
    <row r="80" spans="1:26" ht="15" customHeight="1">
      <c r="A80" s="16" t="str">
        <f t="shared" si="10"/>
        <v>BBB</v>
      </c>
      <c r="B80" s="16" t="str">
        <f>IF(IFERROR(HLOOKUP(B$2,$M$2:$BL80,$J80,FALSE),"")="","",IFERROR(HLOOKUP(B$2,$M$2:$BL80,$J80,FALSE),""))</f>
        <v/>
      </c>
      <c r="C80" s="16" t="str">
        <f>IF(IFERROR(HLOOKUP(C$2,$M$2:$BL80,$J80,FALSE),"")="","",IFERROR(HLOOKUP(C$2,$M$2:$BL80,$J80,FALSE),""))</f>
        <v/>
      </c>
      <c r="D80" s="16" t="str">
        <f>IF(IFERROR(HLOOKUP(D$2,$M$2:$BL80,$J80,FALSE),"")="","",IFERROR(HLOOKUP(D$2,$M$2:$BL80,$J80,FALSE),""))</f>
        <v/>
      </c>
      <c r="E80" s="16" t="str">
        <f>IF(IFERROR(HLOOKUP(E$2,$M$2:$BL80,$J80,FALSE),"")="","",IFERROR(HLOOKUP(E$2,$M$2:$BL80,$J80,FALSE),""))</f>
        <v/>
      </c>
      <c r="F80" s="16" t="str">
        <f>IF(IFERROR(HLOOKUP(F$2,$M$2:$BL80,$J80,FALSE),"")="","",IFERROR(HLOOKUP(F$2,$M$2:$BL80,$J80,FALSE),""))</f>
        <v/>
      </c>
      <c r="G80" s="16" t="str">
        <f>IF(IFERROR(HLOOKUP(G$2,$M$2:$BL80,$J80,FALSE),"")="","",IFERROR(HLOOKUP(G$2,$M$2:$BL80,$J80,FALSE),""))</f>
        <v/>
      </c>
      <c r="J80" s="17">
        <f t="shared" si="8"/>
        <v>79</v>
      </c>
      <c r="L80" s="16" t="s">
        <v>72</v>
      </c>
      <c r="N80" s="16" t="s">
        <v>537</v>
      </c>
      <c r="P80" s="16" t="s">
        <v>538</v>
      </c>
      <c r="R80" s="16" t="s">
        <v>539</v>
      </c>
      <c r="S80" s="16" t="s">
        <v>132</v>
      </c>
      <c r="T80" s="16" t="s">
        <v>540</v>
      </c>
      <c r="W80" s="16" t="s">
        <v>291</v>
      </c>
      <c r="X80" s="16" t="s">
        <v>541</v>
      </c>
      <c r="Y80" s="16" t="s">
        <v>542</v>
      </c>
    </row>
    <row r="81" spans="1:25" ht="15" customHeight="1">
      <c r="A81" s="16" t="str">
        <f t="shared" si="10"/>
        <v>BB</v>
      </c>
      <c r="B81" s="16" t="str">
        <f>IF(IFERROR(HLOOKUP(B$2,$M$2:$BL81,$J81,FALSE),"")="","",IFERROR(HLOOKUP(B$2,$M$2:$BL81,$J81,FALSE),""))</f>
        <v/>
      </c>
      <c r="C81" s="16" t="str">
        <f>IF(IFERROR(HLOOKUP(C$2,$M$2:$BL81,$J81,FALSE),"")="","",IFERROR(HLOOKUP(C$2,$M$2:$BL81,$J81,FALSE),""))</f>
        <v/>
      </c>
      <c r="D81" s="16" t="str">
        <f>IF(IFERROR(HLOOKUP(D$2,$M$2:$BL81,$J81,FALSE),"")="","",IFERROR(HLOOKUP(D$2,$M$2:$BL81,$J81,FALSE),""))</f>
        <v/>
      </c>
      <c r="E81" s="16" t="str">
        <f>IF(IFERROR(HLOOKUP(E$2,$M$2:$BL81,$J81,FALSE),"")="","",IFERROR(HLOOKUP(E$2,$M$2:$BL81,$J81,FALSE),""))</f>
        <v/>
      </c>
      <c r="F81" s="16" t="str">
        <f>IF(IFERROR(HLOOKUP(F$2,$M$2:$BL81,$J81,FALSE),"")="","",IFERROR(HLOOKUP(F$2,$M$2:$BL81,$J81,FALSE),""))</f>
        <v/>
      </c>
      <c r="G81" s="16" t="str">
        <f>IF(IFERROR(HLOOKUP(G$2,$M$2:$BL81,$J81,FALSE),"")="","",IFERROR(HLOOKUP(G$2,$M$2:$BL81,$J81,FALSE),""))</f>
        <v/>
      </c>
      <c r="J81" s="17">
        <f t="shared" si="8"/>
        <v>80</v>
      </c>
      <c r="L81" s="16" t="s">
        <v>94</v>
      </c>
      <c r="N81" s="16" t="s">
        <v>543</v>
      </c>
      <c r="P81" s="16" t="s">
        <v>544</v>
      </c>
      <c r="R81" s="16" t="s">
        <v>545</v>
      </c>
      <c r="S81" s="16" t="s">
        <v>146</v>
      </c>
      <c r="T81" s="16" t="s">
        <v>546</v>
      </c>
      <c r="W81" s="16" t="s">
        <v>146</v>
      </c>
      <c r="X81" s="16" t="s">
        <v>199</v>
      </c>
      <c r="Y81" s="16" t="s">
        <v>547</v>
      </c>
    </row>
    <row r="82" spans="1:25" ht="15" customHeight="1">
      <c r="A82" s="16" t="str">
        <f t="shared" si="10"/>
        <v>B</v>
      </c>
      <c r="B82" s="16" t="str">
        <f>IF(IFERROR(HLOOKUP(B$2,$M$2:$BL82,$J82,FALSE),"")="","",IFERROR(HLOOKUP(B$2,$M$2:$BL82,$J82,FALSE),""))</f>
        <v/>
      </c>
      <c r="C82" s="16" t="str">
        <f>IF(IFERROR(HLOOKUP(C$2,$M$2:$BL82,$J82,FALSE),"")="","",IFERROR(HLOOKUP(C$2,$M$2:$BL82,$J82,FALSE),""))</f>
        <v/>
      </c>
      <c r="D82" s="16" t="str">
        <f>IF(IFERROR(HLOOKUP(D$2,$M$2:$BL82,$J82,FALSE),"")="","",IFERROR(HLOOKUP(D$2,$M$2:$BL82,$J82,FALSE),""))</f>
        <v/>
      </c>
      <c r="E82" s="16" t="str">
        <f>IF(IFERROR(HLOOKUP(E$2,$M$2:$BL82,$J82,FALSE),"")="","",IFERROR(HLOOKUP(E$2,$M$2:$BL82,$J82,FALSE),""))</f>
        <v/>
      </c>
      <c r="F82" s="16" t="str">
        <f>IF(IFERROR(HLOOKUP(F$2,$M$2:$BL82,$J82,FALSE),"")="","",IFERROR(HLOOKUP(F$2,$M$2:$BL82,$J82,FALSE),""))</f>
        <v/>
      </c>
      <c r="G82" s="16" t="str">
        <f>IF(IFERROR(HLOOKUP(G$2,$M$2:$BL82,$J82,FALSE),"")="","",IFERROR(HLOOKUP(G$2,$M$2:$BL82,$J82,FALSE),""))</f>
        <v/>
      </c>
      <c r="J82" s="17">
        <f t="shared" si="8"/>
        <v>81</v>
      </c>
      <c r="L82" s="16" t="s">
        <v>136</v>
      </c>
      <c r="N82" s="16" t="s">
        <v>548</v>
      </c>
      <c r="P82" s="16" t="s">
        <v>549</v>
      </c>
      <c r="R82" s="16" t="s">
        <v>550</v>
      </c>
      <c r="S82" s="16" t="s">
        <v>158</v>
      </c>
      <c r="T82" s="16" t="s">
        <v>551</v>
      </c>
      <c r="W82" s="16" t="s">
        <v>450</v>
      </c>
      <c r="X82" s="16" t="s">
        <v>170</v>
      </c>
      <c r="Y82" s="16" t="s">
        <v>552</v>
      </c>
    </row>
    <row r="83" spans="1:25" ht="15" customHeight="1">
      <c r="A83" s="16" t="str">
        <f t="shared" si="10"/>
        <v>CCC and below</v>
      </c>
      <c r="B83" s="16" t="str">
        <f>IF(IFERROR(HLOOKUP(B$2,$M$2:$BL83,$J83,FALSE),"")="","",IFERROR(HLOOKUP(B$2,$M$2:$BL83,$J83,FALSE),""))</f>
        <v/>
      </c>
      <c r="C83" s="16" t="str">
        <f>IF(IFERROR(HLOOKUP(C$2,$M$2:$BL83,$J83,FALSE),"")="","",IFERROR(HLOOKUP(C$2,$M$2:$BL83,$J83,FALSE),""))</f>
        <v/>
      </c>
      <c r="D83" s="16" t="str">
        <f>IF(IFERROR(HLOOKUP(D$2,$M$2:$BL83,$J83,FALSE),"")="","",IFERROR(HLOOKUP(D$2,$M$2:$BL83,$J83,FALSE),""))</f>
        <v/>
      </c>
      <c r="E83" s="16" t="str">
        <f>IF(IFERROR(HLOOKUP(E$2,$M$2:$BL83,$J83,FALSE),"")="","",IFERROR(HLOOKUP(E$2,$M$2:$BL83,$J83,FALSE),""))</f>
        <v/>
      </c>
      <c r="F83" s="16" t="str">
        <f>IF(IFERROR(HLOOKUP(F$2,$M$2:$BL83,$J83,FALSE),"")="","",IFERROR(HLOOKUP(F$2,$M$2:$BL83,$J83,FALSE),""))</f>
        <v/>
      </c>
      <c r="G83" s="16" t="str">
        <f>IF(IFERROR(HLOOKUP(G$2,$M$2:$BL83,$J83,FALSE),"")="","",IFERROR(HLOOKUP(G$2,$M$2:$BL83,$J83,FALSE),""))</f>
        <v/>
      </c>
      <c r="J83" s="17">
        <f t="shared" si="8"/>
        <v>82</v>
      </c>
      <c r="L83" s="16" t="s">
        <v>163</v>
      </c>
      <c r="N83" s="16" t="s">
        <v>548</v>
      </c>
      <c r="P83" s="16" t="s">
        <v>549</v>
      </c>
      <c r="R83" s="16" t="s">
        <v>550</v>
      </c>
      <c r="S83" s="16" t="s">
        <v>171</v>
      </c>
      <c r="T83" s="16" t="s">
        <v>103</v>
      </c>
      <c r="W83" s="16" t="s">
        <v>553</v>
      </c>
      <c r="X83" s="16" t="s">
        <v>103</v>
      </c>
      <c r="Y83" s="16" t="s">
        <v>103</v>
      </c>
    </row>
    <row r="84" spans="1:25" s="19" customFormat="1" ht="15" customHeight="1">
      <c r="A84" s="22" t="str">
        <f>+K84</f>
        <v>Factor 5</v>
      </c>
      <c r="B84" s="22" t="str">
        <f>IF(IFERROR(HLOOKUP(B$2,$M$2:$BL84,$J84,FALSE),"")="","",IFERROR(HLOOKUP(B$2,$M$2:$BL84,$J84,FALSE),""))</f>
        <v/>
      </c>
      <c r="C84" s="22" t="str">
        <f>IF(IFERROR(HLOOKUP(C$2,$M$2:$BL84,$J84,FALSE),"")="","",IFERROR(HLOOKUP(C$2,$M$2:$BL84,$J84,FALSE),""))</f>
        <v/>
      </c>
      <c r="D84" s="22" t="str">
        <f>IF(IFERROR(HLOOKUP(D$2,$M$2:$BL84,$J84,FALSE),"")="","",IFERROR(HLOOKUP(D$2,$M$2:$BL84,$J84,FALSE),""))</f>
        <v/>
      </c>
      <c r="E84" s="22" t="str">
        <f>IF(IFERROR(HLOOKUP(E$2,$M$2:$BL84,$J84,FALSE),"")="","",IFERROR(HLOOKUP(E$2,$M$2:$BL84,$J84,FALSE),""))</f>
        <v/>
      </c>
      <c r="F84" s="22" t="str">
        <f>IF(IFERROR(HLOOKUP(F$2,$M$2:$BL84,$J84,FALSE),"")="","",IFERROR(HLOOKUP(F$2,$M$2:$BL84,$J84,FALSE),""))</f>
        <v/>
      </c>
      <c r="G84" s="22" t="str">
        <f>IF(IFERROR(HLOOKUP(G$2,$M$2:$BL84,$J84,FALSE),"")="","",IFERROR(HLOOKUP(G$2,$M$2:$BL84,$J84,FALSE),""))</f>
        <v/>
      </c>
      <c r="H84" s="22"/>
      <c r="J84" s="20">
        <f t="shared" si="8"/>
        <v>83</v>
      </c>
      <c r="K84" s="19" t="s">
        <v>298</v>
      </c>
      <c r="S84" s="19" t="s">
        <v>554</v>
      </c>
      <c r="T84" s="19" t="s">
        <v>555</v>
      </c>
      <c r="W84" s="19" t="s">
        <v>525</v>
      </c>
    </row>
    <row r="85" spans="1:25" ht="15" customHeight="1">
      <c r="A85" s="16" t="str">
        <f t="shared" ref="A85:A90" si="11">+L85</f>
        <v>AA and above</v>
      </c>
      <c r="B85" s="16" t="str">
        <f>IF(IFERROR(HLOOKUP(B$2,$M$2:$BL85,$J85,FALSE),"")="","",IFERROR(HLOOKUP(B$2,$M$2:$BL85,$J85,FALSE),""))</f>
        <v/>
      </c>
      <c r="C85" s="16" t="str">
        <f>IF(IFERROR(HLOOKUP(C$2,$M$2:$BL85,$J85,FALSE),"")="","",IFERROR(HLOOKUP(C$2,$M$2:$BL85,$J85,FALSE),""))</f>
        <v/>
      </c>
      <c r="D85" s="16" t="str">
        <f>IF(IFERROR(HLOOKUP(D$2,$M$2:$BL85,$J85,FALSE),"")="","",IFERROR(HLOOKUP(D$2,$M$2:$BL85,$J85,FALSE),""))</f>
        <v/>
      </c>
      <c r="E85" s="16" t="str">
        <f>IF(IFERROR(HLOOKUP(E$2,$M$2:$BL85,$J85,FALSE),"")="","",IFERROR(HLOOKUP(E$2,$M$2:$BL85,$J85,FALSE),""))</f>
        <v/>
      </c>
      <c r="F85" s="16" t="str">
        <f>IF(IFERROR(HLOOKUP(F$2,$M$2:$BL85,$J85,FALSE),"")="","",IFERROR(HLOOKUP(F$2,$M$2:$BL85,$J85,FALSE),""))</f>
        <v/>
      </c>
      <c r="G85" s="16" t="str">
        <f>IF(IFERROR(HLOOKUP(G$2,$M$2:$BL85,$J85,FALSE),"")="","",IFERROR(HLOOKUP(G$2,$M$2:$BL85,$J85,FALSE),""))</f>
        <v/>
      </c>
      <c r="J85" s="17">
        <f t="shared" si="8"/>
        <v>84</v>
      </c>
      <c r="L85" s="16" t="s">
        <v>30</v>
      </c>
      <c r="S85" s="21" t="s">
        <v>556</v>
      </c>
      <c r="T85" s="16" t="s">
        <v>557</v>
      </c>
      <c r="W85" s="16" t="s">
        <v>531</v>
      </c>
    </row>
    <row r="86" spans="1:25" ht="15" customHeight="1">
      <c r="A86" s="16" t="str">
        <f t="shared" si="11"/>
        <v>A</v>
      </c>
      <c r="B86" s="16" t="str">
        <f>IF(IFERROR(HLOOKUP(B$2,$M$2:$BL86,$J86,FALSE),"")="","",IFERROR(HLOOKUP(B$2,$M$2:$BL86,$J86,FALSE),""))</f>
        <v/>
      </c>
      <c r="C86" s="16" t="str">
        <f>IF(IFERROR(HLOOKUP(C$2,$M$2:$BL86,$J86,FALSE),"")="","",IFERROR(HLOOKUP(C$2,$M$2:$BL86,$J86,FALSE),""))</f>
        <v/>
      </c>
      <c r="D86" s="16" t="str">
        <f>IF(IFERROR(HLOOKUP(D$2,$M$2:$BL86,$J86,FALSE),"")="","",IFERROR(HLOOKUP(D$2,$M$2:$BL86,$J86,FALSE),""))</f>
        <v/>
      </c>
      <c r="E86" s="16" t="str">
        <f>IF(IFERROR(HLOOKUP(E$2,$M$2:$BL86,$J86,FALSE),"")="","",IFERROR(HLOOKUP(E$2,$M$2:$BL86,$J86,FALSE),""))</f>
        <v/>
      </c>
      <c r="F86" s="16" t="str">
        <f>IF(IFERROR(HLOOKUP(F$2,$M$2:$BL86,$J86,FALSE),"")="","",IFERROR(HLOOKUP(F$2,$M$2:$BL86,$J86,FALSE),""))</f>
        <v/>
      </c>
      <c r="G86" s="16" t="str">
        <f>IF(IFERROR(HLOOKUP(G$2,$M$2:$BL86,$J86,FALSE),"")="","",IFERROR(HLOOKUP(G$2,$M$2:$BL86,$J86,FALSE),""))</f>
        <v/>
      </c>
      <c r="J86" s="17">
        <f t="shared" si="8"/>
        <v>85</v>
      </c>
      <c r="L86" s="16" t="s">
        <v>63</v>
      </c>
      <c r="S86" s="21" t="s">
        <v>556</v>
      </c>
      <c r="T86" s="16" t="s">
        <v>558</v>
      </c>
      <c r="W86" s="16" t="s">
        <v>534</v>
      </c>
    </row>
    <row r="87" spans="1:25" ht="15" customHeight="1">
      <c r="A87" s="16" t="str">
        <f t="shared" si="11"/>
        <v>BBB</v>
      </c>
      <c r="B87" s="16" t="str">
        <f>IF(IFERROR(HLOOKUP(B$2,$M$2:$BL87,$J87,FALSE),"")="","",IFERROR(HLOOKUP(B$2,$M$2:$BL87,$J87,FALSE),""))</f>
        <v/>
      </c>
      <c r="C87" s="16" t="str">
        <f>IF(IFERROR(HLOOKUP(C$2,$M$2:$BL87,$J87,FALSE),"")="","",IFERROR(HLOOKUP(C$2,$M$2:$BL87,$J87,FALSE),""))</f>
        <v/>
      </c>
      <c r="D87" s="16" t="str">
        <f>IF(IFERROR(HLOOKUP(D$2,$M$2:$BL87,$J87,FALSE),"")="","",IFERROR(HLOOKUP(D$2,$M$2:$BL87,$J87,FALSE),""))</f>
        <v/>
      </c>
      <c r="E87" s="16" t="str">
        <f>IF(IFERROR(HLOOKUP(E$2,$M$2:$BL87,$J87,FALSE),"")="","",IFERROR(HLOOKUP(E$2,$M$2:$BL87,$J87,FALSE),""))</f>
        <v/>
      </c>
      <c r="F87" s="16" t="str">
        <f>IF(IFERROR(HLOOKUP(F$2,$M$2:$BL87,$J87,FALSE),"")="","",IFERROR(HLOOKUP(F$2,$M$2:$BL87,$J87,FALSE),""))</f>
        <v/>
      </c>
      <c r="G87" s="16" t="str">
        <f>IF(IFERROR(HLOOKUP(G$2,$M$2:$BL87,$J87,FALSE),"")="","",IFERROR(HLOOKUP(G$2,$M$2:$BL87,$J87,FALSE),""))</f>
        <v/>
      </c>
      <c r="J87" s="17">
        <f t="shared" si="8"/>
        <v>86</v>
      </c>
      <c r="L87" s="16" t="s">
        <v>72</v>
      </c>
      <c r="S87" s="21" t="s">
        <v>559</v>
      </c>
      <c r="T87" s="16" t="s">
        <v>560</v>
      </c>
      <c r="W87" s="16" t="s">
        <v>540</v>
      </c>
    </row>
    <row r="88" spans="1:25" ht="15" customHeight="1">
      <c r="A88" s="16" t="str">
        <f t="shared" si="11"/>
        <v>BB</v>
      </c>
      <c r="B88" s="16" t="str">
        <f>IF(IFERROR(HLOOKUP(B$2,$M$2:$BL88,$J88,FALSE),"")="","",IFERROR(HLOOKUP(B$2,$M$2:$BL88,$J88,FALSE),""))</f>
        <v/>
      </c>
      <c r="C88" s="16" t="str">
        <f>IF(IFERROR(HLOOKUP(C$2,$M$2:$BL88,$J88,FALSE),"")="","",IFERROR(HLOOKUP(C$2,$M$2:$BL88,$J88,FALSE),""))</f>
        <v/>
      </c>
      <c r="D88" s="16" t="str">
        <f>IF(IFERROR(HLOOKUP(D$2,$M$2:$BL88,$J88,FALSE),"")="","",IFERROR(HLOOKUP(D$2,$M$2:$BL88,$J88,FALSE),""))</f>
        <v/>
      </c>
      <c r="E88" s="16" t="str">
        <f>IF(IFERROR(HLOOKUP(E$2,$M$2:$BL88,$J88,FALSE),"")="","",IFERROR(HLOOKUP(E$2,$M$2:$BL88,$J88,FALSE),""))</f>
        <v/>
      </c>
      <c r="F88" s="16" t="str">
        <f>IF(IFERROR(HLOOKUP(F$2,$M$2:$BL88,$J88,FALSE),"")="","",IFERROR(HLOOKUP(F$2,$M$2:$BL88,$J88,FALSE),""))</f>
        <v/>
      </c>
      <c r="G88" s="16" t="str">
        <f>IF(IFERROR(HLOOKUP(G$2,$M$2:$BL88,$J88,FALSE),"")="","",IFERROR(HLOOKUP(G$2,$M$2:$BL88,$J88,FALSE),""))</f>
        <v/>
      </c>
      <c r="J88" s="17">
        <f t="shared" si="8"/>
        <v>87</v>
      </c>
      <c r="L88" s="16" t="s">
        <v>94</v>
      </c>
      <c r="S88" s="21" t="s">
        <v>561</v>
      </c>
      <c r="T88" s="16" t="s">
        <v>562</v>
      </c>
      <c r="W88" s="16" t="s">
        <v>546</v>
      </c>
    </row>
    <row r="89" spans="1:25" ht="15" customHeight="1">
      <c r="A89" s="16" t="str">
        <f t="shared" si="11"/>
        <v>B</v>
      </c>
      <c r="B89" s="16" t="str">
        <f>IF(IFERROR(HLOOKUP(B$2,$M$2:$BL89,$J89,FALSE),"")="","",IFERROR(HLOOKUP(B$2,$M$2:$BL89,$J89,FALSE),""))</f>
        <v/>
      </c>
      <c r="C89" s="16" t="str">
        <f>IF(IFERROR(HLOOKUP(C$2,$M$2:$BL89,$J89,FALSE),"")="","",IFERROR(HLOOKUP(C$2,$M$2:$BL89,$J89,FALSE),""))</f>
        <v/>
      </c>
      <c r="D89" s="16" t="str">
        <f>IF(IFERROR(HLOOKUP(D$2,$M$2:$BL89,$J89,FALSE),"")="","",IFERROR(HLOOKUP(D$2,$M$2:$BL89,$J89,FALSE),""))</f>
        <v/>
      </c>
      <c r="E89" s="16" t="str">
        <f>IF(IFERROR(HLOOKUP(E$2,$M$2:$BL89,$J89,FALSE),"")="","",IFERROR(HLOOKUP(E$2,$M$2:$BL89,$J89,FALSE),""))</f>
        <v/>
      </c>
      <c r="F89" s="16" t="str">
        <f>IF(IFERROR(HLOOKUP(F$2,$M$2:$BL89,$J89,FALSE),"")="","",IFERROR(HLOOKUP(F$2,$M$2:$BL89,$J89,FALSE),""))</f>
        <v/>
      </c>
      <c r="G89" s="16" t="str">
        <f>IF(IFERROR(HLOOKUP(G$2,$M$2:$BL89,$J89,FALSE),"")="","",IFERROR(HLOOKUP(G$2,$M$2:$BL89,$J89,FALSE),""))</f>
        <v/>
      </c>
      <c r="J89" s="17">
        <f t="shared" si="8"/>
        <v>88</v>
      </c>
      <c r="L89" s="16" t="s">
        <v>136</v>
      </c>
      <c r="S89" s="21" t="s">
        <v>233</v>
      </c>
      <c r="T89" s="16" t="s">
        <v>563</v>
      </c>
      <c r="W89" s="16" t="s">
        <v>551</v>
      </c>
    </row>
    <row r="90" spans="1:25" ht="15" customHeight="1">
      <c r="A90" s="16" t="str">
        <f t="shared" si="11"/>
        <v>CCC and below</v>
      </c>
      <c r="B90" s="16" t="str">
        <f>IF(IFERROR(HLOOKUP(B$2,$M$2:$BL90,$J90,FALSE),"")="","",IFERROR(HLOOKUP(B$2,$M$2:$BL90,$J90,FALSE),""))</f>
        <v/>
      </c>
      <c r="C90" s="16" t="str">
        <f>IF(IFERROR(HLOOKUP(C$2,$M$2:$BL90,$J90,FALSE),"")="","",IFERROR(HLOOKUP(C$2,$M$2:$BL90,$J90,FALSE),""))</f>
        <v/>
      </c>
      <c r="D90" s="16" t="str">
        <f>IF(IFERROR(HLOOKUP(D$2,$M$2:$BL90,$J90,FALSE),"")="","",IFERROR(HLOOKUP(D$2,$M$2:$BL90,$J90,FALSE),""))</f>
        <v/>
      </c>
      <c r="E90" s="16" t="str">
        <f>IF(IFERROR(HLOOKUP(E$2,$M$2:$BL90,$J90,FALSE),"")="","",IFERROR(HLOOKUP(E$2,$M$2:$BL90,$J90,FALSE),""))</f>
        <v/>
      </c>
      <c r="F90" s="16" t="str">
        <f>IF(IFERROR(HLOOKUP(F$2,$M$2:$BL90,$J90,FALSE),"")="","",IFERROR(HLOOKUP(F$2,$M$2:$BL90,$J90,FALSE),""))</f>
        <v/>
      </c>
      <c r="G90" s="16" t="str">
        <f>IF(IFERROR(HLOOKUP(G$2,$M$2:$BL90,$J90,FALSE),"")="","",IFERROR(HLOOKUP(G$2,$M$2:$BL90,$J90,FALSE),""))</f>
        <v/>
      </c>
      <c r="J90" s="17">
        <f t="shared" si="8"/>
        <v>89</v>
      </c>
      <c r="L90" s="16" t="s">
        <v>163</v>
      </c>
      <c r="S90" s="21" t="s">
        <v>564</v>
      </c>
      <c r="T90" s="16" t="s">
        <v>103</v>
      </c>
      <c r="W90" s="16" t="s">
        <v>551</v>
      </c>
    </row>
    <row r="91" spans="1:25">
      <c r="J91" s="17">
        <f t="shared" si="8"/>
        <v>90</v>
      </c>
    </row>
    <row r="92" spans="1:25">
      <c r="B92" s="19" t="s">
        <v>565</v>
      </c>
      <c r="C92" s="19" t="s">
        <v>566</v>
      </c>
      <c r="D92" s="19" t="s">
        <v>567</v>
      </c>
      <c r="E92" s="19" t="s">
        <v>568</v>
      </c>
      <c r="F92" s="19" t="s">
        <v>569</v>
      </c>
      <c r="G92" s="19" t="s">
        <v>570</v>
      </c>
      <c r="H92" s="19"/>
      <c r="J92" s="17">
        <f t="shared" si="8"/>
        <v>91</v>
      </c>
    </row>
    <row r="93" spans="1:25">
      <c r="B93" s="19" t="s">
        <v>571</v>
      </c>
      <c r="C93" s="19" t="s">
        <v>572</v>
      </c>
      <c r="D93" s="19" t="s">
        <v>573</v>
      </c>
      <c r="E93" s="19" t="s">
        <v>574</v>
      </c>
      <c r="F93" s="19" t="s">
        <v>575</v>
      </c>
      <c r="G93" s="19" t="s">
        <v>576</v>
      </c>
      <c r="H93" s="19"/>
      <c r="J93" s="17">
        <f t="shared" si="8"/>
        <v>92</v>
      </c>
    </row>
    <row r="94" spans="1:25">
      <c r="B94" s="19" t="s">
        <v>577</v>
      </c>
      <c r="C94" s="19" t="s">
        <v>578</v>
      </c>
      <c r="D94" s="19" t="s">
        <v>579</v>
      </c>
      <c r="E94" s="19" t="s">
        <v>580</v>
      </c>
      <c r="F94" s="19" t="s">
        <v>581</v>
      </c>
      <c r="G94" s="19" t="s">
        <v>582</v>
      </c>
      <c r="H94" s="19"/>
      <c r="J94" s="17">
        <f t="shared" si="8"/>
        <v>93</v>
      </c>
    </row>
    <row r="95" spans="1:25">
      <c r="B95" s="19" t="s">
        <v>583</v>
      </c>
      <c r="C95" s="19" t="s">
        <v>584</v>
      </c>
      <c r="D95" s="19" t="s">
        <v>585</v>
      </c>
      <c r="E95" s="19" t="s">
        <v>586</v>
      </c>
      <c r="F95" s="19" t="s">
        <v>587</v>
      </c>
      <c r="G95" s="19" t="s">
        <v>588</v>
      </c>
      <c r="H95" s="19"/>
      <c r="J95" s="17">
        <f t="shared" si="8"/>
        <v>94</v>
      </c>
    </row>
    <row r="96" spans="1:25">
      <c r="B96" s="19" t="s">
        <v>589</v>
      </c>
      <c r="C96" s="19" t="s">
        <v>590</v>
      </c>
      <c r="D96" s="19" t="s">
        <v>591</v>
      </c>
      <c r="E96" s="19" t="s">
        <v>592</v>
      </c>
      <c r="F96" s="19" t="s">
        <v>593</v>
      </c>
      <c r="G96" s="19" t="s">
        <v>594</v>
      </c>
      <c r="H96" s="19"/>
      <c r="J96" s="17">
        <f t="shared" si="8"/>
        <v>95</v>
      </c>
    </row>
    <row r="97" spans="1:26">
      <c r="J97" s="17">
        <f t="shared" si="8"/>
        <v>96</v>
      </c>
    </row>
    <row r="98" spans="1:26" ht="15" customHeight="1">
      <c r="J98" s="17">
        <f t="shared" si="8"/>
        <v>97</v>
      </c>
    </row>
    <row r="99" spans="1:26" ht="15" customHeight="1">
      <c r="A99" s="24" t="s">
        <v>595</v>
      </c>
      <c r="J99" s="17">
        <f t="shared" si="8"/>
        <v>98</v>
      </c>
      <c r="K99" s="18" t="str">
        <f>+A99</f>
        <v>[Operating profitability]</v>
      </c>
    </row>
    <row r="100" spans="1:26" s="19" customFormat="1" ht="15" customHeight="1">
      <c r="A100" s="22" t="str">
        <f>+K100</f>
        <v>Factor 1</v>
      </c>
      <c r="B100" s="22" t="str">
        <f>IF(IFERROR(HLOOKUP(B$2,$M$2:$BL100,$J100,FALSE),"")="","",IFERROR(HLOOKUP(B$2,$M$2:$BL100,$J100,FALSE),""))</f>
        <v/>
      </c>
      <c r="C100" s="22" t="str">
        <f>IF(IFERROR(HLOOKUP(C$2,$M$2:$BL100,$J100,FALSE),"")="","",IFERROR(HLOOKUP(C$2,$M$2:$BL100,$J100,FALSE),""))</f>
        <v/>
      </c>
      <c r="D100" s="22" t="str">
        <f>IF(IFERROR(HLOOKUP(D$2,$M$2:$BL100,$J100,FALSE),"")="","",IFERROR(HLOOKUP(D$2,$M$2:$BL100,$J100,FALSE),""))</f>
        <v/>
      </c>
      <c r="E100" s="22" t="str">
        <f>IF(IFERROR(HLOOKUP(E$2,$M$2:$BL100,$J100,FALSE),"")="","",IFERROR(HLOOKUP(E$2,$M$2:$BL100,$J100,FALSE),""))</f>
        <v/>
      </c>
      <c r="F100" s="22" t="str">
        <f>IF(IFERROR(HLOOKUP(F$2,$M$2:$BL100,$J100,FALSE),"")="","",IFERROR(HLOOKUP(F$2,$M$2:$BL100,$J100,FALSE),""))</f>
        <v/>
      </c>
      <c r="G100" s="22" t="str">
        <f>IF(IFERROR(HLOOKUP(G$2,$M$2:$BL100,$J100,FALSE),"")="","",IFERROR(HLOOKUP(G$2,$M$2:$BL100,$J100,FALSE),""))</f>
        <v/>
      </c>
      <c r="H100" s="22"/>
      <c r="J100" s="20">
        <f t="shared" si="8"/>
        <v>99</v>
      </c>
      <c r="K100" s="19" t="s">
        <v>79</v>
      </c>
      <c r="M100" s="19" t="s">
        <v>596</v>
      </c>
      <c r="N100" s="19" t="s">
        <v>597</v>
      </c>
      <c r="O100" s="19" t="s">
        <v>596</v>
      </c>
      <c r="P100" s="19" t="s">
        <v>598</v>
      </c>
      <c r="Q100" s="19" t="s">
        <v>596</v>
      </c>
      <c r="R100" s="19" t="s">
        <v>596</v>
      </c>
      <c r="S100" s="19" t="s">
        <v>599</v>
      </c>
      <c r="T100" s="19" t="s">
        <v>600</v>
      </c>
      <c r="V100" s="19" t="s">
        <v>598</v>
      </c>
      <c r="W100" s="19" t="s">
        <v>601</v>
      </c>
      <c r="X100" s="19" t="s">
        <v>602</v>
      </c>
      <c r="Y100" s="19" t="s">
        <v>602</v>
      </c>
      <c r="Z100" s="19" t="s">
        <v>596</v>
      </c>
    </row>
    <row r="101" spans="1:26" ht="15" customHeight="1">
      <c r="A101" s="16" t="str">
        <f t="shared" ref="A101:A106" si="12">+L101</f>
        <v>AA and above</v>
      </c>
      <c r="B101" s="16" t="str">
        <f>IF(IFERROR(HLOOKUP(B$2,$M$2:$BL101,$J101,FALSE),"")="","",IFERROR(HLOOKUP(B$2,$M$2:$BL101,$J101,FALSE),""))</f>
        <v/>
      </c>
      <c r="C101" s="16" t="str">
        <f>IF(IFERROR(HLOOKUP(C$2,$M$2:$BL101,$J101,FALSE),"")="","",IFERROR(HLOOKUP(C$2,$M$2:$BL101,$J101,FALSE),""))</f>
        <v/>
      </c>
      <c r="D101" s="16" t="str">
        <f>IF(IFERROR(HLOOKUP(D$2,$M$2:$BL101,$J101,FALSE),"")="","",IFERROR(HLOOKUP(D$2,$M$2:$BL101,$J101,FALSE),""))</f>
        <v/>
      </c>
      <c r="E101" s="16" t="str">
        <f>IF(IFERROR(HLOOKUP(E$2,$M$2:$BL101,$J101,FALSE),"")="","",IFERROR(HLOOKUP(E$2,$M$2:$BL101,$J101,FALSE),""))</f>
        <v/>
      </c>
      <c r="F101" s="16" t="str">
        <f>IF(IFERROR(HLOOKUP(F$2,$M$2:$BL101,$J101,FALSE),"")="","",IFERROR(HLOOKUP(F$2,$M$2:$BL101,$J101,FALSE),""))</f>
        <v/>
      </c>
      <c r="G101" s="16" t="str">
        <f>IF(IFERROR(HLOOKUP(G$2,$M$2:$BL101,$J101,FALSE),"")="","",IFERROR(HLOOKUP(G$2,$M$2:$BL101,$J101,FALSE),""))</f>
        <v/>
      </c>
      <c r="J101" s="17">
        <f t="shared" si="8"/>
        <v>100</v>
      </c>
      <c r="L101" s="16" t="s">
        <v>30</v>
      </c>
      <c r="M101" s="16" t="s">
        <v>603</v>
      </c>
      <c r="N101" s="16" t="s">
        <v>604</v>
      </c>
      <c r="O101" s="16" t="s">
        <v>605</v>
      </c>
      <c r="P101" s="16" t="s">
        <v>606</v>
      </c>
      <c r="Q101" s="16" t="s">
        <v>607</v>
      </c>
      <c r="R101" s="16" t="s">
        <v>284</v>
      </c>
      <c r="S101" s="16" t="s">
        <v>418</v>
      </c>
      <c r="T101" s="16" t="s">
        <v>452</v>
      </c>
      <c r="V101" s="16" t="s">
        <v>103</v>
      </c>
      <c r="W101" s="16" t="s">
        <v>452</v>
      </c>
      <c r="X101" s="16" t="s">
        <v>608</v>
      </c>
      <c r="Y101" s="16" t="s">
        <v>609</v>
      </c>
      <c r="Z101" s="16" t="s">
        <v>251</v>
      </c>
    </row>
    <row r="102" spans="1:26" ht="15" customHeight="1">
      <c r="A102" s="16" t="str">
        <f t="shared" si="12"/>
        <v>A</v>
      </c>
      <c r="B102" s="16" t="str">
        <f>IF(IFERROR(HLOOKUP(B$2,$M$2:$BL102,$J102,FALSE),"")="","",IFERROR(HLOOKUP(B$2,$M$2:$BL102,$J102,FALSE),""))</f>
        <v/>
      </c>
      <c r="C102" s="16" t="str">
        <f>IF(IFERROR(HLOOKUP(C$2,$M$2:$BL102,$J102,FALSE),"")="","",IFERROR(HLOOKUP(C$2,$M$2:$BL102,$J102,FALSE),""))</f>
        <v/>
      </c>
      <c r="D102" s="16" t="str">
        <f>IF(IFERROR(HLOOKUP(D$2,$M$2:$BL102,$J102,FALSE),"")="","",IFERROR(HLOOKUP(D$2,$M$2:$BL102,$J102,FALSE),""))</f>
        <v/>
      </c>
      <c r="E102" s="16" t="str">
        <f>IF(IFERROR(HLOOKUP(E$2,$M$2:$BL102,$J102,FALSE),"")="","",IFERROR(HLOOKUP(E$2,$M$2:$BL102,$J102,FALSE),""))</f>
        <v/>
      </c>
      <c r="F102" s="16" t="str">
        <f>IF(IFERROR(HLOOKUP(F$2,$M$2:$BL102,$J102,FALSE),"")="","",IFERROR(HLOOKUP(F$2,$M$2:$BL102,$J102,FALSE),""))</f>
        <v/>
      </c>
      <c r="G102" s="16" t="str">
        <f>IF(IFERROR(HLOOKUP(G$2,$M$2:$BL102,$J102,FALSE),"")="","",IFERROR(HLOOKUP(G$2,$M$2:$BL102,$J102,FALSE),""))</f>
        <v/>
      </c>
      <c r="J102" s="17">
        <f t="shared" si="8"/>
        <v>101</v>
      </c>
      <c r="L102" s="16" t="s">
        <v>63</v>
      </c>
      <c r="M102" s="16" t="s">
        <v>610</v>
      </c>
      <c r="N102" s="16" t="s">
        <v>419</v>
      </c>
      <c r="O102" s="16" t="s">
        <v>611</v>
      </c>
      <c r="P102" s="16" t="s">
        <v>612</v>
      </c>
      <c r="Q102" s="16" t="s">
        <v>613</v>
      </c>
      <c r="R102" s="16" t="s">
        <v>614</v>
      </c>
      <c r="S102" s="16" t="s">
        <v>418</v>
      </c>
      <c r="T102" s="16" t="s">
        <v>615</v>
      </c>
      <c r="V102" s="16" t="s">
        <v>616</v>
      </c>
      <c r="W102" s="16" t="s">
        <v>617</v>
      </c>
      <c r="X102" s="16" t="s">
        <v>618</v>
      </c>
      <c r="Y102" s="16" t="s">
        <v>619</v>
      </c>
      <c r="Z102" s="16" t="s">
        <v>255</v>
      </c>
    </row>
    <row r="103" spans="1:26" ht="15" customHeight="1">
      <c r="A103" s="16" t="str">
        <f t="shared" si="12"/>
        <v>BBB</v>
      </c>
      <c r="B103" s="16" t="str">
        <f>IF(IFERROR(HLOOKUP(B$2,$M$2:$BL103,$J103,FALSE),"")="","",IFERROR(HLOOKUP(B$2,$M$2:$BL103,$J103,FALSE),""))</f>
        <v/>
      </c>
      <c r="C103" s="16" t="str">
        <f>IF(IFERROR(HLOOKUP(C$2,$M$2:$BL103,$J103,FALSE),"")="","",IFERROR(HLOOKUP(C$2,$M$2:$BL103,$J103,FALSE),""))</f>
        <v/>
      </c>
      <c r="D103" s="16" t="str">
        <f>IF(IFERROR(HLOOKUP(D$2,$M$2:$BL103,$J103,FALSE),"")="","",IFERROR(HLOOKUP(D$2,$M$2:$BL103,$J103,FALSE),""))</f>
        <v/>
      </c>
      <c r="E103" s="16" t="str">
        <f>IF(IFERROR(HLOOKUP(E$2,$M$2:$BL103,$J103,FALSE),"")="","",IFERROR(HLOOKUP(E$2,$M$2:$BL103,$J103,FALSE),""))</f>
        <v/>
      </c>
      <c r="F103" s="16" t="str">
        <f>IF(IFERROR(HLOOKUP(F$2,$M$2:$BL103,$J103,FALSE),"")="","",IFERROR(HLOOKUP(F$2,$M$2:$BL103,$J103,FALSE),""))</f>
        <v/>
      </c>
      <c r="G103" s="16" t="str">
        <f>IF(IFERROR(HLOOKUP(G$2,$M$2:$BL103,$J103,FALSE),"")="","",IFERROR(HLOOKUP(G$2,$M$2:$BL103,$J103,FALSE),""))</f>
        <v/>
      </c>
      <c r="J103" s="17">
        <f t="shared" si="8"/>
        <v>102</v>
      </c>
      <c r="L103" s="16" t="s">
        <v>72</v>
      </c>
      <c r="M103" s="16" t="s">
        <v>620</v>
      </c>
      <c r="N103" s="16" t="s">
        <v>621</v>
      </c>
      <c r="O103" s="16" t="s">
        <v>622</v>
      </c>
      <c r="P103" s="16" t="s">
        <v>623</v>
      </c>
      <c r="Q103" s="16" t="s">
        <v>610</v>
      </c>
      <c r="R103" s="16" t="s">
        <v>624</v>
      </c>
      <c r="S103" s="16" t="s">
        <v>625</v>
      </c>
      <c r="T103" s="16" t="s">
        <v>626</v>
      </c>
      <c r="V103" s="16" t="s">
        <v>627</v>
      </c>
      <c r="W103" s="16" t="s">
        <v>628</v>
      </c>
      <c r="X103" s="16" t="s">
        <v>621</v>
      </c>
      <c r="Y103" s="16" t="s">
        <v>629</v>
      </c>
      <c r="Z103" s="16" t="s">
        <v>260</v>
      </c>
    </row>
    <row r="104" spans="1:26" ht="15" customHeight="1">
      <c r="A104" s="16" t="str">
        <f t="shared" si="12"/>
        <v>BB</v>
      </c>
      <c r="B104" s="16" t="str">
        <f>IF(IFERROR(HLOOKUP(B$2,$M$2:$BL104,$J104,FALSE),"")="","",IFERROR(HLOOKUP(B$2,$M$2:$BL104,$J104,FALSE),""))</f>
        <v/>
      </c>
      <c r="C104" s="16" t="str">
        <f>IF(IFERROR(HLOOKUP(C$2,$M$2:$BL104,$J104,FALSE),"")="","",IFERROR(HLOOKUP(C$2,$M$2:$BL104,$J104,FALSE),""))</f>
        <v/>
      </c>
      <c r="D104" s="16" t="str">
        <f>IF(IFERROR(HLOOKUP(D$2,$M$2:$BL104,$J104,FALSE),"")="","",IFERROR(HLOOKUP(D$2,$M$2:$BL104,$J104,FALSE),""))</f>
        <v/>
      </c>
      <c r="E104" s="16" t="str">
        <f>IF(IFERROR(HLOOKUP(E$2,$M$2:$BL104,$J104,FALSE),"")="","",IFERROR(HLOOKUP(E$2,$M$2:$BL104,$J104,FALSE),""))</f>
        <v/>
      </c>
      <c r="F104" s="16" t="str">
        <f>IF(IFERROR(HLOOKUP(F$2,$M$2:$BL104,$J104,FALSE),"")="","",IFERROR(HLOOKUP(F$2,$M$2:$BL104,$J104,FALSE),""))</f>
        <v/>
      </c>
      <c r="G104" s="16" t="str">
        <f>IF(IFERROR(HLOOKUP(G$2,$M$2:$BL104,$J104,FALSE),"")="","",IFERROR(HLOOKUP(G$2,$M$2:$BL104,$J104,FALSE),""))</f>
        <v/>
      </c>
      <c r="J104" s="17">
        <f t="shared" si="8"/>
        <v>103</v>
      </c>
      <c r="L104" s="16" t="s">
        <v>94</v>
      </c>
      <c r="M104" s="16" t="s">
        <v>630</v>
      </c>
      <c r="N104" s="16" t="s">
        <v>482</v>
      </c>
      <c r="O104" s="16" t="s">
        <v>631</v>
      </c>
      <c r="P104" s="16" t="s">
        <v>632</v>
      </c>
      <c r="Q104" s="16" t="s">
        <v>633</v>
      </c>
      <c r="R104" s="16" t="s">
        <v>634</v>
      </c>
      <c r="S104" s="16" t="s">
        <v>625</v>
      </c>
      <c r="T104" s="16" t="s">
        <v>635</v>
      </c>
      <c r="V104" s="16" t="s">
        <v>636</v>
      </c>
      <c r="W104" s="16" t="s">
        <v>419</v>
      </c>
      <c r="X104" s="16" t="s">
        <v>482</v>
      </c>
      <c r="Y104" s="16" t="s">
        <v>618</v>
      </c>
      <c r="Z104" s="16" t="s">
        <v>266</v>
      </c>
    </row>
    <row r="105" spans="1:26" ht="15" customHeight="1">
      <c r="A105" s="16" t="str">
        <f t="shared" si="12"/>
        <v>B</v>
      </c>
      <c r="B105" s="16" t="str">
        <f>IF(IFERROR(HLOOKUP(B$2,$M$2:$BL105,$J105,FALSE),"")="","",IFERROR(HLOOKUP(B$2,$M$2:$BL105,$J105,FALSE),""))</f>
        <v/>
      </c>
      <c r="C105" s="16" t="str">
        <f>IF(IFERROR(HLOOKUP(C$2,$M$2:$BL105,$J105,FALSE),"")="","",IFERROR(HLOOKUP(C$2,$M$2:$BL105,$J105,FALSE),""))</f>
        <v/>
      </c>
      <c r="D105" s="16" t="str">
        <f>IF(IFERROR(HLOOKUP(D$2,$M$2:$BL105,$J105,FALSE),"")="","",IFERROR(HLOOKUP(D$2,$M$2:$BL105,$J105,FALSE),""))</f>
        <v/>
      </c>
      <c r="E105" s="16" t="str">
        <f>IF(IFERROR(HLOOKUP(E$2,$M$2:$BL105,$J105,FALSE),"")="","",IFERROR(HLOOKUP(E$2,$M$2:$BL105,$J105,FALSE),""))</f>
        <v/>
      </c>
      <c r="F105" s="16" t="str">
        <f>IF(IFERROR(HLOOKUP(F$2,$M$2:$BL105,$J105,FALSE),"")="","",IFERROR(HLOOKUP(F$2,$M$2:$BL105,$J105,FALSE),""))</f>
        <v/>
      </c>
      <c r="G105" s="16" t="str">
        <f>IF(IFERROR(HLOOKUP(G$2,$M$2:$BL105,$J105,FALSE),"")="","",IFERROR(HLOOKUP(G$2,$M$2:$BL105,$J105,FALSE),""))</f>
        <v/>
      </c>
      <c r="J105" s="17">
        <f t="shared" si="8"/>
        <v>104</v>
      </c>
      <c r="L105" s="16" t="s">
        <v>136</v>
      </c>
      <c r="M105" s="16" t="s">
        <v>637</v>
      </c>
      <c r="N105" s="16" t="s">
        <v>490</v>
      </c>
      <c r="O105" s="16" t="s">
        <v>638</v>
      </c>
      <c r="P105" s="16" t="s">
        <v>639</v>
      </c>
      <c r="Q105" s="16" t="s">
        <v>640</v>
      </c>
      <c r="R105" s="16" t="s">
        <v>641</v>
      </c>
      <c r="S105" s="16" t="s">
        <v>450</v>
      </c>
      <c r="T105" s="16" t="s">
        <v>224</v>
      </c>
      <c r="V105" s="16" t="s">
        <v>642</v>
      </c>
      <c r="W105" s="16" t="s">
        <v>412</v>
      </c>
      <c r="X105" s="16" t="s">
        <v>490</v>
      </c>
      <c r="Y105" s="16" t="s">
        <v>202</v>
      </c>
      <c r="Z105" s="16" t="s">
        <v>643</v>
      </c>
    </row>
    <row r="106" spans="1:26" ht="15" customHeight="1">
      <c r="A106" s="16" t="str">
        <f t="shared" si="12"/>
        <v>CCC and below</v>
      </c>
      <c r="B106" s="16" t="str">
        <f>IF(IFERROR(HLOOKUP(B$2,$M$2:$BL106,$J106,FALSE),"")="","",IFERROR(HLOOKUP(B$2,$M$2:$BL106,$J106,FALSE),""))</f>
        <v/>
      </c>
      <c r="C106" s="16" t="str">
        <f>IF(IFERROR(HLOOKUP(C$2,$M$2:$BL106,$J106,FALSE),"")="","",IFERROR(HLOOKUP(C$2,$M$2:$BL106,$J106,FALSE),""))</f>
        <v/>
      </c>
      <c r="D106" s="16" t="str">
        <f>IF(IFERROR(HLOOKUP(D$2,$M$2:$BL106,$J106,FALSE),"")="","",IFERROR(HLOOKUP(D$2,$M$2:$BL106,$J106,FALSE),""))</f>
        <v/>
      </c>
      <c r="E106" s="16" t="str">
        <f>IF(IFERROR(HLOOKUP(E$2,$M$2:$BL106,$J106,FALSE),"")="","",IFERROR(HLOOKUP(E$2,$M$2:$BL106,$J106,FALSE),""))</f>
        <v/>
      </c>
      <c r="F106" s="16" t="str">
        <f>IF(IFERROR(HLOOKUP(F$2,$M$2:$BL106,$J106,FALSE),"")="","",IFERROR(HLOOKUP(F$2,$M$2:$BL106,$J106,FALSE),""))</f>
        <v/>
      </c>
      <c r="G106" s="16" t="str">
        <f>IF(IFERROR(HLOOKUP(G$2,$M$2:$BL106,$J106,FALSE),"")="","",IFERROR(HLOOKUP(G$2,$M$2:$BL106,$J106,FALSE),""))</f>
        <v/>
      </c>
      <c r="J106" s="17">
        <f t="shared" si="8"/>
        <v>105</v>
      </c>
      <c r="L106" s="16" t="s">
        <v>163</v>
      </c>
      <c r="M106" s="16" t="s">
        <v>552</v>
      </c>
      <c r="N106" s="16" t="s">
        <v>644</v>
      </c>
      <c r="O106" s="16" t="s">
        <v>235</v>
      </c>
      <c r="P106" s="16" t="s">
        <v>235</v>
      </c>
      <c r="Q106" s="16" t="s">
        <v>552</v>
      </c>
      <c r="R106" s="16" t="s">
        <v>235</v>
      </c>
      <c r="S106" s="16" t="s">
        <v>450</v>
      </c>
      <c r="T106" s="16" t="s">
        <v>645</v>
      </c>
      <c r="V106" s="16" t="s">
        <v>645</v>
      </c>
      <c r="W106" s="16" t="s">
        <v>646</v>
      </c>
      <c r="X106" s="16" t="s">
        <v>647</v>
      </c>
      <c r="Y106" s="16" t="s">
        <v>224</v>
      </c>
      <c r="Z106" s="16" t="s">
        <v>648</v>
      </c>
    </row>
    <row r="107" spans="1:26" s="19" customFormat="1" ht="15" customHeight="1">
      <c r="A107" s="22" t="str">
        <f>+K107</f>
        <v>Factor 2</v>
      </c>
      <c r="B107" s="22" t="str">
        <f>IF(IFERROR(HLOOKUP(B$2,$M$2:$BL107,$J107,FALSE),"")="","",IFERROR(HLOOKUP(B$2,$M$2:$BL107,$J107,FALSE),""))</f>
        <v/>
      </c>
      <c r="C107" s="22" t="str">
        <f>IF(IFERROR(HLOOKUP(C$2,$M$2:$BL107,$J107,FALSE),"")="","",IFERROR(HLOOKUP(C$2,$M$2:$BL107,$J107,FALSE),""))</f>
        <v/>
      </c>
      <c r="D107" s="22" t="str">
        <f>IF(IFERROR(HLOOKUP(D$2,$M$2:$BL107,$J107,FALSE),"")="","",IFERROR(HLOOKUP(D$2,$M$2:$BL107,$J107,FALSE),""))</f>
        <v/>
      </c>
      <c r="E107" s="22" t="str">
        <f>IF(IFERROR(HLOOKUP(E$2,$M$2:$BL107,$J107,FALSE),"")="","",IFERROR(HLOOKUP(E$2,$M$2:$BL107,$J107,FALSE),""))</f>
        <v/>
      </c>
      <c r="F107" s="22" t="str">
        <f>IF(IFERROR(HLOOKUP(F$2,$M$2:$BL107,$J107,FALSE),"")="","",IFERROR(HLOOKUP(F$2,$M$2:$BL107,$J107,FALSE),""))</f>
        <v/>
      </c>
      <c r="G107" s="22" t="str">
        <f>IF(IFERROR(HLOOKUP(G$2,$M$2:$BL107,$J107,FALSE),"")="","",IFERROR(HLOOKUP(G$2,$M$2:$BL107,$J107,FALSE),""))</f>
        <v/>
      </c>
      <c r="H107" s="22"/>
      <c r="J107" s="20">
        <f t="shared" si="8"/>
        <v>106</v>
      </c>
      <c r="K107" s="19" t="s">
        <v>173</v>
      </c>
      <c r="M107" s="19" t="s">
        <v>599</v>
      </c>
      <c r="O107" s="19" t="s">
        <v>649</v>
      </c>
      <c r="P107" s="19" t="s">
        <v>599</v>
      </c>
      <c r="Q107" s="19" t="s">
        <v>599</v>
      </c>
      <c r="R107" s="19" t="s">
        <v>650</v>
      </c>
      <c r="S107" s="19" t="s">
        <v>596</v>
      </c>
      <c r="T107" s="19" t="s">
        <v>651</v>
      </c>
      <c r="V107" s="19" t="s">
        <v>652</v>
      </c>
      <c r="W107" s="19" t="s">
        <v>653</v>
      </c>
      <c r="Z107" s="19" t="s">
        <v>654</v>
      </c>
    </row>
    <row r="108" spans="1:26" ht="15" customHeight="1">
      <c r="A108" s="16" t="str">
        <f t="shared" ref="A108:A113" si="13">+L108</f>
        <v>AA and above</v>
      </c>
      <c r="B108" s="16" t="str">
        <f>IF(IFERROR(HLOOKUP(B$2,$M$2:$BL108,$J108,FALSE),"")="","",IFERROR(HLOOKUP(B$2,$M$2:$BL108,$J108,FALSE),""))</f>
        <v/>
      </c>
      <c r="C108" s="16" t="str">
        <f>IF(IFERROR(HLOOKUP(C$2,$M$2:$BL108,$J108,FALSE),"")="","",IFERROR(HLOOKUP(C$2,$M$2:$BL108,$J108,FALSE),""))</f>
        <v/>
      </c>
      <c r="D108" s="16" t="str">
        <f>IF(IFERROR(HLOOKUP(D$2,$M$2:$BL108,$J108,FALSE),"")="","",IFERROR(HLOOKUP(D$2,$M$2:$BL108,$J108,FALSE),""))</f>
        <v/>
      </c>
      <c r="E108" s="16" t="str">
        <f>IF(IFERROR(HLOOKUP(E$2,$M$2:$BL108,$J108,FALSE),"")="","",IFERROR(HLOOKUP(E$2,$M$2:$BL108,$J108,FALSE),""))</f>
        <v/>
      </c>
      <c r="F108" s="16" t="str">
        <f>IF(IFERROR(HLOOKUP(F$2,$M$2:$BL108,$J108,FALSE),"")="","",IFERROR(HLOOKUP(F$2,$M$2:$BL108,$J108,FALSE),""))</f>
        <v/>
      </c>
      <c r="G108" s="16" t="str">
        <f>IF(IFERROR(HLOOKUP(G$2,$M$2:$BL108,$J108,FALSE),"")="","",IFERROR(HLOOKUP(G$2,$M$2:$BL108,$J108,FALSE),""))</f>
        <v/>
      </c>
      <c r="J108" s="17">
        <f t="shared" si="8"/>
        <v>107</v>
      </c>
      <c r="L108" s="16" t="s">
        <v>30</v>
      </c>
      <c r="M108" s="16" t="s">
        <v>418</v>
      </c>
      <c r="O108" s="16" t="s">
        <v>411</v>
      </c>
      <c r="P108" s="16" t="s">
        <v>655</v>
      </c>
      <c r="Q108" s="16" t="s">
        <v>418</v>
      </c>
      <c r="R108" s="16" t="s">
        <v>605</v>
      </c>
      <c r="S108" s="21" t="s">
        <v>517</v>
      </c>
      <c r="T108" s="16" t="s">
        <v>656</v>
      </c>
      <c r="V108" s="16" t="s">
        <v>103</v>
      </c>
      <c r="W108" s="16" t="s">
        <v>657</v>
      </c>
      <c r="Z108" s="16" t="s">
        <v>658</v>
      </c>
    </row>
    <row r="109" spans="1:26" ht="15" customHeight="1">
      <c r="A109" s="16" t="str">
        <f t="shared" si="13"/>
        <v>A</v>
      </c>
      <c r="B109" s="16" t="str">
        <f>IF(IFERROR(HLOOKUP(B$2,$M$2:$BL109,$J109,FALSE),"")="","",IFERROR(HLOOKUP(B$2,$M$2:$BL109,$J109,FALSE),""))</f>
        <v/>
      </c>
      <c r="C109" s="16" t="str">
        <f>IF(IFERROR(HLOOKUP(C$2,$M$2:$BL109,$J109,FALSE),"")="","",IFERROR(HLOOKUP(C$2,$M$2:$BL109,$J109,FALSE),""))</f>
        <v/>
      </c>
      <c r="D109" s="16" t="str">
        <f>IF(IFERROR(HLOOKUP(D$2,$M$2:$BL109,$J109,FALSE),"")="","",IFERROR(HLOOKUP(D$2,$M$2:$BL109,$J109,FALSE),""))</f>
        <v/>
      </c>
      <c r="E109" s="16" t="str">
        <f>IF(IFERROR(HLOOKUP(E$2,$M$2:$BL109,$J109,FALSE),"")="","",IFERROR(HLOOKUP(E$2,$M$2:$BL109,$J109,FALSE),""))</f>
        <v/>
      </c>
      <c r="F109" s="16" t="str">
        <f>IF(IFERROR(HLOOKUP(F$2,$M$2:$BL109,$J109,FALSE),"")="","",IFERROR(HLOOKUP(F$2,$M$2:$BL109,$J109,FALSE),""))</f>
        <v/>
      </c>
      <c r="G109" s="16" t="str">
        <f>IF(IFERROR(HLOOKUP(G$2,$M$2:$BL109,$J109,FALSE),"")="","",IFERROR(HLOOKUP(G$2,$M$2:$BL109,$J109,FALSE),""))</f>
        <v/>
      </c>
      <c r="J109" s="17">
        <f t="shared" si="8"/>
        <v>108</v>
      </c>
      <c r="L109" s="16" t="s">
        <v>63</v>
      </c>
      <c r="M109" s="16" t="s">
        <v>418</v>
      </c>
      <c r="O109" s="16" t="s">
        <v>260</v>
      </c>
      <c r="P109" s="16" t="s">
        <v>655</v>
      </c>
      <c r="Q109" s="16" t="s">
        <v>418</v>
      </c>
      <c r="R109" s="16" t="s">
        <v>659</v>
      </c>
      <c r="S109" s="21" t="s">
        <v>660</v>
      </c>
      <c r="T109" s="16" t="s">
        <v>661</v>
      </c>
      <c r="V109" s="16" t="s">
        <v>662</v>
      </c>
      <c r="W109" s="16" t="s">
        <v>482</v>
      </c>
      <c r="Z109" s="16" t="s">
        <v>663</v>
      </c>
    </row>
    <row r="110" spans="1:26" ht="15" customHeight="1">
      <c r="A110" s="16" t="str">
        <f t="shared" si="13"/>
        <v>BBB</v>
      </c>
      <c r="B110" s="16" t="str">
        <f>IF(IFERROR(HLOOKUP(B$2,$M$2:$BL110,$J110,FALSE),"")="","",IFERROR(HLOOKUP(B$2,$M$2:$BL110,$J110,FALSE),""))</f>
        <v/>
      </c>
      <c r="C110" s="16" t="str">
        <f>IF(IFERROR(HLOOKUP(C$2,$M$2:$BL110,$J110,FALSE),"")="","",IFERROR(HLOOKUP(C$2,$M$2:$BL110,$J110,FALSE),""))</f>
        <v/>
      </c>
      <c r="D110" s="16" t="str">
        <f>IF(IFERROR(HLOOKUP(D$2,$M$2:$BL110,$J110,FALSE),"")="","",IFERROR(HLOOKUP(D$2,$M$2:$BL110,$J110,FALSE),""))</f>
        <v/>
      </c>
      <c r="E110" s="16" t="str">
        <f>IF(IFERROR(HLOOKUP(E$2,$M$2:$BL110,$J110,FALSE),"")="","",IFERROR(HLOOKUP(E$2,$M$2:$BL110,$J110,FALSE),""))</f>
        <v/>
      </c>
      <c r="F110" s="16" t="str">
        <f>IF(IFERROR(HLOOKUP(F$2,$M$2:$BL110,$J110,FALSE),"")="","",IFERROR(HLOOKUP(F$2,$M$2:$BL110,$J110,FALSE),""))</f>
        <v/>
      </c>
      <c r="G110" s="16" t="str">
        <f>IF(IFERROR(HLOOKUP(G$2,$M$2:$BL110,$J110,FALSE),"")="","",IFERROR(HLOOKUP(G$2,$M$2:$BL110,$J110,FALSE),""))</f>
        <v/>
      </c>
      <c r="J110" s="17">
        <f t="shared" si="8"/>
        <v>109</v>
      </c>
      <c r="L110" s="16" t="s">
        <v>72</v>
      </c>
      <c r="M110" s="16" t="s">
        <v>625</v>
      </c>
      <c r="O110" s="16" t="s">
        <v>266</v>
      </c>
      <c r="P110" s="16" t="s">
        <v>655</v>
      </c>
      <c r="Q110" s="16" t="s">
        <v>625</v>
      </c>
      <c r="R110" s="16" t="s">
        <v>664</v>
      </c>
      <c r="S110" s="21" t="s">
        <v>665</v>
      </c>
      <c r="T110" s="16" t="s">
        <v>666</v>
      </c>
      <c r="V110" s="16" t="s">
        <v>662</v>
      </c>
      <c r="W110" s="16" t="s">
        <v>667</v>
      </c>
      <c r="Z110" s="16" t="s">
        <v>668</v>
      </c>
    </row>
    <row r="111" spans="1:26" ht="15" customHeight="1">
      <c r="A111" s="16" t="str">
        <f t="shared" si="13"/>
        <v>BB</v>
      </c>
      <c r="B111" s="16" t="str">
        <f>IF(IFERROR(HLOOKUP(B$2,$M$2:$BL111,$J111,FALSE),"")="","",IFERROR(HLOOKUP(B$2,$M$2:$BL111,$J111,FALSE),""))</f>
        <v/>
      </c>
      <c r="C111" s="16" t="str">
        <f>IF(IFERROR(HLOOKUP(C$2,$M$2:$BL111,$J111,FALSE),"")="","",IFERROR(HLOOKUP(C$2,$M$2:$BL111,$J111,FALSE),""))</f>
        <v/>
      </c>
      <c r="D111" s="16" t="str">
        <f>IF(IFERROR(HLOOKUP(D$2,$M$2:$BL111,$J111,FALSE),"")="","",IFERROR(HLOOKUP(D$2,$M$2:$BL111,$J111,FALSE),""))</f>
        <v/>
      </c>
      <c r="E111" s="16" t="str">
        <f>IF(IFERROR(HLOOKUP(E$2,$M$2:$BL111,$J111,FALSE),"")="","",IFERROR(HLOOKUP(E$2,$M$2:$BL111,$J111,FALSE),""))</f>
        <v/>
      </c>
      <c r="F111" s="16" t="str">
        <f>IF(IFERROR(HLOOKUP(F$2,$M$2:$BL111,$J111,FALSE),"")="","",IFERROR(HLOOKUP(F$2,$M$2:$BL111,$J111,FALSE),""))</f>
        <v/>
      </c>
      <c r="G111" s="16" t="str">
        <f>IF(IFERROR(HLOOKUP(G$2,$M$2:$BL111,$J111,FALSE),"")="","",IFERROR(HLOOKUP(G$2,$M$2:$BL111,$J111,FALSE),""))</f>
        <v/>
      </c>
      <c r="J111" s="17">
        <f t="shared" si="8"/>
        <v>110</v>
      </c>
      <c r="L111" s="16" t="s">
        <v>94</v>
      </c>
      <c r="M111" s="16" t="s">
        <v>625</v>
      </c>
      <c r="O111" s="16" t="s">
        <v>439</v>
      </c>
      <c r="P111" s="16" t="s">
        <v>669</v>
      </c>
      <c r="Q111" s="16" t="s">
        <v>625</v>
      </c>
      <c r="R111" s="16" t="s">
        <v>484</v>
      </c>
      <c r="S111" s="21" t="s">
        <v>670</v>
      </c>
      <c r="T111" s="16" t="s">
        <v>671</v>
      </c>
      <c r="V111" s="16" t="s">
        <v>672</v>
      </c>
      <c r="W111" s="16" t="s">
        <v>673</v>
      </c>
      <c r="Z111" s="16" t="s">
        <v>674</v>
      </c>
    </row>
    <row r="112" spans="1:26" ht="15" customHeight="1">
      <c r="A112" s="16" t="str">
        <f t="shared" si="13"/>
        <v>B</v>
      </c>
      <c r="B112" s="16" t="str">
        <f>IF(IFERROR(HLOOKUP(B$2,$M$2:$BL112,$J112,FALSE),"")="","",IFERROR(HLOOKUP(B$2,$M$2:$BL112,$J112,FALSE),""))</f>
        <v/>
      </c>
      <c r="C112" s="16" t="str">
        <f>IF(IFERROR(HLOOKUP(C$2,$M$2:$BL112,$J112,FALSE),"")="","",IFERROR(HLOOKUP(C$2,$M$2:$BL112,$J112,FALSE),""))</f>
        <v/>
      </c>
      <c r="D112" s="16" t="str">
        <f>IF(IFERROR(HLOOKUP(D$2,$M$2:$BL112,$J112,FALSE),"")="","",IFERROR(HLOOKUP(D$2,$M$2:$BL112,$J112,FALSE),""))</f>
        <v/>
      </c>
      <c r="E112" s="16" t="str">
        <f>IF(IFERROR(HLOOKUP(E$2,$M$2:$BL112,$J112,FALSE),"")="","",IFERROR(HLOOKUP(E$2,$M$2:$BL112,$J112,FALSE),""))</f>
        <v/>
      </c>
      <c r="F112" s="16" t="str">
        <f>IF(IFERROR(HLOOKUP(F$2,$M$2:$BL112,$J112,FALSE),"")="","",IFERROR(HLOOKUP(F$2,$M$2:$BL112,$J112,FALSE),""))</f>
        <v/>
      </c>
      <c r="G112" s="16" t="str">
        <f>IF(IFERROR(HLOOKUP(G$2,$M$2:$BL112,$J112,FALSE),"")="","",IFERROR(HLOOKUP(G$2,$M$2:$BL112,$J112,FALSE),""))</f>
        <v/>
      </c>
      <c r="J112" s="17">
        <f t="shared" si="8"/>
        <v>111</v>
      </c>
      <c r="L112" s="16" t="s">
        <v>136</v>
      </c>
      <c r="M112" s="16" t="s">
        <v>450</v>
      </c>
      <c r="O112" s="16" t="s">
        <v>675</v>
      </c>
      <c r="P112" s="16" t="s">
        <v>669</v>
      </c>
      <c r="Q112" s="16" t="s">
        <v>450</v>
      </c>
      <c r="R112" s="16" t="s">
        <v>676</v>
      </c>
      <c r="S112" s="21" t="s">
        <v>677</v>
      </c>
      <c r="T112" s="16" t="s">
        <v>678</v>
      </c>
      <c r="V112" s="16" t="s">
        <v>672</v>
      </c>
      <c r="W112" s="16" t="s">
        <v>679</v>
      </c>
      <c r="Z112" s="16" t="s">
        <v>680</v>
      </c>
    </row>
    <row r="113" spans="1:26" ht="15" customHeight="1">
      <c r="A113" s="16" t="str">
        <f t="shared" si="13"/>
        <v>CCC and below</v>
      </c>
      <c r="B113" s="16" t="str">
        <f>IF(IFERROR(HLOOKUP(B$2,$M$2:$BL113,$J113,FALSE),"")="","",IFERROR(HLOOKUP(B$2,$M$2:$BL113,$J113,FALSE),""))</f>
        <v/>
      </c>
      <c r="C113" s="16" t="str">
        <f>IF(IFERROR(HLOOKUP(C$2,$M$2:$BL113,$J113,FALSE),"")="","",IFERROR(HLOOKUP(C$2,$M$2:$BL113,$J113,FALSE),""))</f>
        <v/>
      </c>
      <c r="D113" s="16" t="str">
        <f>IF(IFERROR(HLOOKUP(D$2,$M$2:$BL113,$J113,FALSE),"")="","",IFERROR(HLOOKUP(D$2,$M$2:$BL113,$J113,FALSE),""))</f>
        <v/>
      </c>
      <c r="E113" s="16" t="str">
        <f>IF(IFERROR(HLOOKUP(E$2,$M$2:$BL113,$J113,FALSE),"")="","",IFERROR(HLOOKUP(E$2,$M$2:$BL113,$J113,FALSE),""))</f>
        <v/>
      </c>
      <c r="F113" s="16" t="str">
        <f>IF(IFERROR(HLOOKUP(F$2,$M$2:$BL113,$J113,FALSE),"")="","",IFERROR(HLOOKUP(F$2,$M$2:$BL113,$J113,FALSE),""))</f>
        <v/>
      </c>
      <c r="G113" s="16" t="str">
        <f>IF(IFERROR(HLOOKUP(G$2,$M$2:$BL113,$J113,FALSE),"")="","",IFERROR(HLOOKUP(G$2,$M$2:$BL113,$J113,FALSE),""))</f>
        <v/>
      </c>
      <c r="J113" s="17">
        <f t="shared" si="8"/>
        <v>112</v>
      </c>
      <c r="L113" s="16" t="s">
        <v>163</v>
      </c>
      <c r="M113" s="16" t="s">
        <v>450</v>
      </c>
      <c r="O113" s="16" t="s">
        <v>648</v>
      </c>
      <c r="P113" s="16" t="s">
        <v>669</v>
      </c>
      <c r="Q113" s="16" t="s">
        <v>450</v>
      </c>
      <c r="R113" s="16" t="s">
        <v>681</v>
      </c>
      <c r="S113" s="21" t="s">
        <v>682</v>
      </c>
      <c r="T113" s="16" t="s">
        <v>645</v>
      </c>
      <c r="V113" s="16" t="s">
        <v>683</v>
      </c>
      <c r="W113" s="16" t="s">
        <v>646</v>
      </c>
      <c r="Z113" s="16" t="s">
        <v>231</v>
      </c>
    </row>
    <row r="114" spans="1:26" s="19" customFormat="1" ht="15" customHeight="1">
      <c r="A114" s="22" t="str">
        <f>+K114</f>
        <v>Factor 3</v>
      </c>
      <c r="B114" s="22" t="str">
        <f>IF(IFERROR(HLOOKUP(B$2,$M$2:$BL114,$J114,FALSE),"")="","",IFERROR(HLOOKUP(B$2,$M$2:$BL114,$J114,FALSE),""))</f>
        <v/>
      </c>
      <c r="C114" s="22" t="str">
        <f>IF(IFERROR(HLOOKUP(C$2,$M$2:$BL114,$J114,FALSE),"")="","",IFERROR(HLOOKUP(C$2,$M$2:$BL114,$J114,FALSE),""))</f>
        <v/>
      </c>
      <c r="D114" s="22" t="str">
        <f>IF(IFERROR(HLOOKUP(D$2,$M$2:$BL114,$J114,FALSE),"")="","",IFERROR(HLOOKUP(D$2,$M$2:$BL114,$J114,FALSE),""))</f>
        <v/>
      </c>
      <c r="E114" s="22" t="str">
        <f>IF(IFERROR(HLOOKUP(E$2,$M$2:$BL114,$J114,FALSE),"")="","",IFERROR(HLOOKUP(E$2,$M$2:$BL114,$J114,FALSE),""))</f>
        <v/>
      </c>
      <c r="F114" s="22" t="str">
        <f>IF(IFERROR(HLOOKUP(F$2,$M$2:$BL114,$J114,FALSE),"")="","",IFERROR(HLOOKUP(F$2,$M$2:$BL114,$J114,FALSE),""))</f>
        <v/>
      </c>
      <c r="G114" s="22" t="str">
        <f>IF(IFERROR(HLOOKUP(G$2,$M$2:$BL114,$J114,FALSE),"")="","",IFERROR(HLOOKUP(G$2,$M$2:$BL114,$J114,FALSE),""))</f>
        <v/>
      </c>
      <c r="H114" s="22"/>
      <c r="J114" s="20">
        <f t="shared" si="8"/>
        <v>113</v>
      </c>
      <c r="K114" s="19" t="s">
        <v>239</v>
      </c>
      <c r="O114" s="19" t="s">
        <v>599</v>
      </c>
      <c r="R114" s="19" t="s">
        <v>599</v>
      </c>
      <c r="S114" s="19" t="s">
        <v>684</v>
      </c>
      <c r="T114" s="19" t="s">
        <v>685</v>
      </c>
      <c r="V114" s="19" t="s">
        <v>686</v>
      </c>
      <c r="W114" s="19" t="s">
        <v>687</v>
      </c>
    </row>
    <row r="115" spans="1:26" ht="15" customHeight="1">
      <c r="A115" s="16" t="str">
        <f t="shared" ref="A115:A120" si="14">+L115</f>
        <v>AA and above</v>
      </c>
      <c r="B115" s="16" t="str">
        <f>IF(IFERROR(HLOOKUP(B$2,$M$2:$BL115,$J115,FALSE),"")="","",IFERROR(HLOOKUP(B$2,$M$2:$BL115,$J115,FALSE),""))</f>
        <v/>
      </c>
      <c r="C115" s="16" t="str">
        <f>IF(IFERROR(HLOOKUP(C$2,$M$2:$BL115,$J115,FALSE),"")="","",IFERROR(HLOOKUP(C$2,$M$2:$BL115,$J115,FALSE),""))</f>
        <v/>
      </c>
      <c r="D115" s="16" t="str">
        <f>IF(IFERROR(HLOOKUP(D$2,$M$2:$BL115,$J115,FALSE),"")="","",IFERROR(HLOOKUP(D$2,$M$2:$BL115,$J115,FALSE),""))</f>
        <v/>
      </c>
      <c r="E115" s="16" t="str">
        <f>IF(IFERROR(HLOOKUP(E$2,$M$2:$BL115,$J115,FALSE),"")="","",IFERROR(HLOOKUP(E$2,$M$2:$BL115,$J115,FALSE),""))</f>
        <v/>
      </c>
      <c r="F115" s="16" t="str">
        <f>IF(IFERROR(HLOOKUP(F$2,$M$2:$BL115,$J115,FALSE),"")="","",IFERROR(HLOOKUP(F$2,$M$2:$BL115,$J115,FALSE),""))</f>
        <v/>
      </c>
      <c r="G115" s="16" t="str">
        <f>IF(IFERROR(HLOOKUP(G$2,$M$2:$BL115,$J115,FALSE),"")="","",IFERROR(HLOOKUP(G$2,$M$2:$BL115,$J115,FALSE),""))</f>
        <v/>
      </c>
      <c r="J115" s="17">
        <f t="shared" si="8"/>
        <v>114</v>
      </c>
      <c r="L115" s="16" t="s">
        <v>30</v>
      </c>
      <c r="O115" s="16" t="s">
        <v>655</v>
      </c>
      <c r="R115" s="16" t="s">
        <v>418</v>
      </c>
      <c r="S115" s="21" t="s">
        <v>564</v>
      </c>
      <c r="T115" s="16" t="s">
        <v>688</v>
      </c>
      <c r="V115" s="16" t="s">
        <v>103</v>
      </c>
      <c r="W115" s="16" t="s">
        <v>657</v>
      </c>
    </row>
    <row r="116" spans="1:26" ht="15" customHeight="1">
      <c r="A116" s="16" t="str">
        <f t="shared" si="14"/>
        <v>A</v>
      </c>
      <c r="B116" s="16" t="str">
        <f>IF(IFERROR(HLOOKUP(B$2,$M$2:$BL116,$J116,FALSE),"")="","",IFERROR(HLOOKUP(B$2,$M$2:$BL116,$J116,FALSE),""))</f>
        <v/>
      </c>
      <c r="C116" s="16" t="str">
        <f>IF(IFERROR(HLOOKUP(C$2,$M$2:$BL116,$J116,FALSE),"")="","",IFERROR(HLOOKUP(C$2,$M$2:$BL116,$J116,FALSE),""))</f>
        <v/>
      </c>
      <c r="D116" s="16" t="str">
        <f>IF(IFERROR(HLOOKUP(D$2,$M$2:$BL116,$J116,FALSE),"")="","",IFERROR(HLOOKUP(D$2,$M$2:$BL116,$J116,FALSE),""))</f>
        <v/>
      </c>
      <c r="E116" s="16" t="str">
        <f>IF(IFERROR(HLOOKUP(E$2,$M$2:$BL116,$J116,FALSE),"")="","",IFERROR(HLOOKUP(E$2,$M$2:$BL116,$J116,FALSE),""))</f>
        <v/>
      </c>
      <c r="F116" s="16" t="str">
        <f>IF(IFERROR(HLOOKUP(F$2,$M$2:$BL116,$J116,FALSE),"")="","",IFERROR(HLOOKUP(F$2,$M$2:$BL116,$J116,FALSE),""))</f>
        <v/>
      </c>
      <c r="G116" s="16" t="str">
        <f>IF(IFERROR(HLOOKUP(G$2,$M$2:$BL116,$J116,FALSE),"")="","",IFERROR(HLOOKUP(G$2,$M$2:$BL116,$J116,FALSE),""))</f>
        <v/>
      </c>
      <c r="J116" s="17">
        <f t="shared" si="8"/>
        <v>115</v>
      </c>
      <c r="L116" s="16" t="s">
        <v>63</v>
      </c>
      <c r="O116" s="16" t="s">
        <v>655</v>
      </c>
      <c r="R116" s="16" t="s">
        <v>418</v>
      </c>
      <c r="S116" s="21" t="s">
        <v>689</v>
      </c>
      <c r="T116" s="16" t="s">
        <v>688</v>
      </c>
      <c r="V116" s="16" t="s">
        <v>690</v>
      </c>
      <c r="W116" s="16" t="s">
        <v>482</v>
      </c>
    </row>
    <row r="117" spans="1:26" ht="15" customHeight="1">
      <c r="A117" s="16" t="str">
        <f t="shared" si="14"/>
        <v>BBB</v>
      </c>
      <c r="B117" s="16" t="str">
        <f>IF(IFERROR(HLOOKUP(B$2,$M$2:$BL117,$J117,FALSE),"")="","",IFERROR(HLOOKUP(B$2,$M$2:$BL117,$J117,FALSE),""))</f>
        <v/>
      </c>
      <c r="C117" s="16" t="str">
        <f>IF(IFERROR(HLOOKUP(C$2,$M$2:$BL117,$J117,FALSE),"")="","",IFERROR(HLOOKUP(C$2,$M$2:$BL117,$J117,FALSE),""))</f>
        <v/>
      </c>
      <c r="D117" s="16" t="str">
        <f>IF(IFERROR(HLOOKUP(D$2,$M$2:$BL117,$J117,FALSE),"")="","",IFERROR(HLOOKUP(D$2,$M$2:$BL117,$J117,FALSE),""))</f>
        <v/>
      </c>
      <c r="E117" s="16" t="str">
        <f>IF(IFERROR(HLOOKUP(E$2,$M$2:$BL117,$J117,FALSE),"")="","",IFERROR(HLOOKUP(E$2,$M$2:$BL117,$J117,FALSE),""))</f>
        <v/>
      </c>
      <c r="F117" s="16" t="str">
        <f>IF(IFERROR(HLOOKUP(F$2,$M$2:$BL117,$J117,FALSE),"")="","",IFERROR(HLOOKUP(F$2,$M$2:$BL117,$J117,FALSE),""))</f>
        <v/>
      </c>
      <c r="G117" s="16" t="str">
        <f>IF(IFERROR(HLOOKUP(G$2,$M$2:$BL117,$J117,FALSE),"")="","",IFERROR(HLOOKUP(G$2,$M$2:$BL117,$J117,FALSE),""))</f>
        <v/>
      </c>
      <c r="J117" s="17">
        <f t="shared" si="8"/>
        <v>116</v>
      </c>
      <c r="L117" s="16" t="s">
        <v>72</v>
      </c>
      <c r="O117" s="16" t="s">
        <v>625</v>
      </c>
      <c r="R117" s="16" t="s">
        <v>625</v>
      </c>
      <c r="S117" s="21" t="s">
        <v>691</v>
      </c>
      <c r="T117" s="16" t="s">
        <v>692</v>
      </c>
      <c r="V117" s="16" t="s">
        <v>693</v>
      </c>
      <c r="W117" s="16" t="s">
        <v>694</v>
      </c>
    </row>
    <row r="118" spans="1:26" ht="15" customHeight="1">
      <c r="A118" s="16" t="str">
        <f t="shared" si="14"/>
        <v>BB</v>
      </c>
      <c r="B118" s="16" t="str">
        <f>IF(IFERROR(HLOOKUP(B$2,$M$2:$BL118,$J118,FALSE),"")="","",IFERROR(HLOOKUP(B$2,$M$2:$BL118,$J118,FALSE),""))</f>
        <v/>
      </c>
      <c r="C118" s="16" t="str">
        <f>IF(IFERROR(HLOOKUP(C$2,$M$2:$BL118,$J118,FALSE),"")="","",IFERROR(HLOOKUP(C$2,$M$2:$BL118,$J118,FALSE),""))</f>
        <v/>
      </c>
      <c r="D118" s="16" t="str">
        <f>IF(IFERROR(HLOOKUP(D$2,$M$2:$BL118,$J118,FALSE),"")="","",IFERROR(HLOOKUP(D$2,$M$2:$BL118,$J118,FALSE),""))</f>
        <v/>
      </c>
      <c r="E118" s="16" t="str">
        <f>IF(IFERROR(HLOOKUP(E$2,$M$2:$BL118,$J118,FALSE),"")="","",IFERROR(HLOOKUP(E$2,$M$2:$BL118,$J118,FALSE),""))</f>
        <v/>
      </c>
      <c r="F118" s="16" t="str">
        <f>IF(IFERROR(HLOOKUP(F$2,$M$2:$BL118,$J118,FALSE),"")="","",IFERROR(HLOOKUP(F$2,$M$2:$BL118,$J118,FALSE),""))</f>
        <v/>
      </c>
      <c r="G118" s="16" t="str">
        <f>IF(IFERROR(HLOOKUP(G$2,$M$2:$BL118,$J118,FALSE),"")="","",IFERROR(HLOOKUP(G$2,$M$2:$BL118,$J118,FALSE),""))</f>
        <v/>
      </c>
      <c r="J118" s="17">
        <f t="shared" si="8"/>
        <v>117</v>
      </c>
      <c r="L118" s="16" t="s">
        <v>94</v>
      </c>
      <c r="O118" s="16" t="s">
        <v>625</v>
      </c>
      <c r="R118" s="16" t="s">
        <v>625</v>
      </c>
      <c r="S118" s="21" t="s">
        <v>695</v>
      </c>
      <c r="T118" s="16" t="s">
        <v>696</v>
      </c>
      <c r="V118" s="16" t="s">
        <v>697</v>
      </c>
      <c r="W118" s="16" t="s">
        <v>697</v>
      </c>
    </row>
    <row r="119" spans="1:26" ht="15" customHeight="1">
      <c r="A119" s="16" t="str">
        <f t="shared" si="14"/>
        <v>B</v>
      </c>
      <c r="B119" s="16" t="str">
        <f>IF(IFERROR(HLOOKUP(B$2,$M$2:$BL119,$J119,FALSE),"")="","",IFERROR(HLOOKUP(B$2,$M$2:$BL119,$J119,FALSE),""))</f>
        <v/>
      </c>
      <c r="C119" s="16" t="str">
        <f>IF(IFERROR(HLOOKUP(C$2,$M$2:$BL119,$J119,FALSE),"")="","",IFERROR(HLOOKUP(C$2,$M$2:$BL119,$J119,FALSE),""))</f>
        <v/>
      </c>
      <c r="D119" s="16" t="str">
        <f>IF(IFERROR(HLOOKUP(D$2,$M$2:$BL119,$J119,FALSE),"")="","",IFERROR(HLOOKUP(D$2,$M$2:$BL119,$J119,FALSE),""))</f>
        <v/>
      </c>
      <c r="E119" s="16" t="str">
        <f>IF(IFERROR(HLOOKUP(E$2,$M$2:$BL119,$J119,FALSE),"")="","",IFERROR(HLOOKUP(E$2,$M$2:$BL119,$J119,FALSE),""))</f>
        <v/>
      </c>
      <c r="F119" s="16" t="str">
        <f>IF(IFERROR(HLOOKUP(F$2,$M$2:$BL119,$J119,FALSE),"")="","",IFERROR(HLOOKUP(F$2,$M$2:$BL119,$J119,FALSE),""))</f>
        <v/>
      </c>
      <c r="G119" s="16" t="str">
        <f>IF(IFERROR(HLOOKUP(G$2,$M$2:$BL119,$J119,FALSE),"")="","",IFERROR(HLOOKUP(G$2,$M$2:$BL119,$J119,FALSE),""))</f>
        <v/>
      </c>
      <c r="J119" s="17">
        <f t="shared" si="8"/>
        <v>118</v>
      </c>
      <c r="L119" s="16" t="s">
        <v>136</v>
      </c>
      <c r="O119" s="16" t="s">
        <v>450</v>
      </c>
      <c r="R119" s="16" t="s">
        <v>450</v>
      </c>
      <c r="S119" s="21" t="s">
        <v>698</v>
      </c>
      <c r="T119" s="16" t="s">
        <v>699</v>
      </c>
      <c r="V119" s="16" t="s">
        <v>700</v>
      </c>
      <c r="W119" s="16" t="s">
        <v>700</v>
      </c>
    </row>
    <row r="120" spans="1:26" ht="15" customHeight="1">
      <c r="A120" s="16" t="str">
        <f t="shared" si="14"/>
        <v>CCC and below</v>
      </c>
      <c r="B120" s="16" t="str">
        <f>IF(IFERROR(HLOOKUP(B$2,$M$2:$BL120,$J120,FALSE),"")="","",IFERROR(HLOOKUP(B$2,$M$2:$BL120,$J120,FALSE),""))</f>
        <v/>
      </c>
      <c r="C120" s="16" t="str">
        <f>IF(IFERROR(HLOOKUP(C$2,$M$2:$BL120,$J120,FALSE),"")="","",IFERROR(HLOOKUP(C$2,$M$2:$BL120,$J120,FALSE),""))</f>
        <v/>
      </c>
      <c r="D120" s="16" t="str">
        <f>IF(IFERROR(HLOOKUP(D$2,$M$2:$BL120,$J120,FALSE),"")="","",IFERROR(HLOOKUP(D$2,$M$2:$BL120,$J120,FALSE),""))</f>
        <v/>
      </c>
      <c r="E120" s="16" t="str">
        <f>IF(IFERROR(HLOOKUP(E$2,$M$2:$BL120,$J120,FALSE),"")="","",IFERROR(HLOOKUP(E$2,$M$2:$BL120,$J120,FALSE),""))</f>
        <v/>
      </c>
      <c r="F120" s="16" t="str">
        <f>IF(IFERROR(HLOOKUP(F$2,$M$2:$BL120,$J120,FALSE),"")="","",IFERROR(HLOOKUP(F$2,$M$2:$BL120,$J120,FALSE),""))</f>
        <v/>
      </c>
      <c r="G120" s="16" t="str">
        <f>IF(IFERROR(HLOOKUP(G$2,$M$2:$BL120,$J120,FALSE),"")="","",IFERROR(HLOOKUP(G$2,$M$2:$BL120,$J120,FALSE),""))</f>
        <v/>
      </c>
      <c r="J120" s="17">
        <f t="shared" si="8"/>
        <v>119</v>
      </c>
      <c r="L120" s="16" t="s">
        <v>163</v>
      </c>
      <c r="O120" s="16" t="s">
        <v>450</v>
      </c>
      <c r="R120" s="16" t="s">
        <v>450</v>
      </c>
      <c r="S120" s="21" t="s">
        <v>681</v>
      </c>
      <c r="T120" s="16" t="s">
        <v>699</v>
      </c>
      <c r="V120" s="16" t="s">
        <v>701</v>
      </c>
      <c r="W120" s="16" t="s">
        <v>702</v>
      </c>
    </row>
    <row r="121" spans="1:26" s="19" customFormat="1" ht="15" customHeight="1">
      <c r="A121" s="22" t="str">
        <f>+K121</f>
        <v>Factor 4</v>
      </c>
      <c r="B121" s="22" t="str">
        <f>IF(IFERROR(HLOOKUP(B$2,$M$2:$BL121,$J121,FALSE),"")="","",IFERROR(HLOOKUP(B$2,$M$2:$BL121,$J121,FALSE),""))</f>
        <v/>
      </c>
      <c r="C121" s="22" t="str">
        <f>IF(IFERROR(HLOOKUP(C$2,$M$2:$BL121,$J121,FALSE),"")="","",IFERROR(HLOOKUP(C$2,$M$2:$BL121,$J121,FALSE),""))</f>
        <v/>
      </c>
      <c r="D121" s="22" t="str">
        <f>IF(IFERROR(HLOOKUP(D$2,$M$2:$BL121,$J121,FALSE),"")="","",IFERROR(HLOOKUP(D$2,$M$2:$BL121,$J121,FALSE),""))</f>
        <v/>
      </c>
      <c r="E121" s="22" t="str">
        <f>IF(IFERROR(HLOOKUP(E$2,$M$2:$BL121,$J121,FALSE),"")="","",IFERROR(HLOOKUP(E$2,$M$2:$BL121,$J121,FALSE),""))</f>
        <v/>
      </c>
      <c r="F121" s="22" t="str">
        <f>IF(IFERROR(HLOOKUP(F$2,$M$2:$BL121,$J121,FALSE),"")="","",IFERROR(HLOOKUP(F$2,$M$2:$BL121,$J121,FALSE),""))</f>
        <v/>
      </c>
      <c r="G121" s="22" t="str">
        <f>IF(IFERROR(HLOOKUP(G$2,$M$2:$BL121,$J121,FALSE),"")="","",IFERROR(HLOOKUP(G$2,$M$2:$BL121,$J121,FALSE),""))</f>
        <v/>
      </c>
      <c r="H121" s="22"/>
      <c r="J121" s="20">
        <f t="shared" si="8"/>
        <v>120</v>
      </c>
      <c r="K121" s="19" t="s">
        <v>275</v>
      </c>
      <c r="S121" s="19" t="s">
        <v>649</v>
      </c>
      <c r="T121" s="19" t="s">
        <v>687</v>
      </c>
      <c r="V121" s="19" t="s">
        <v>703</v>
      </c>
    </row>
    <row r="122" spans="1:26" ht="15" customHeight="1">
      <c r="A122" s="16" t="str">
        <f t="shared" ref="A122:A127" si="15">+L122</f>
        <v>AA and above</v>
      </c>
      <c r="B122" s="16" t="str">
        <f>IF(IFERROR(HLOOKUP(B$2,$M$2:$BL122,$J122,FALSE),"")="","",IFERROR(HLOOKUP(B$2,$M$2:$BL122,$J122,FALSE),""))</f>
        <v/>
      </c>
      <c r="C122" s="16" t="str">
        <f>IF(IFERROR(HLOOKUP(C$2,$M$2:$BL122,$J122,FALSE),"")="","",IFERROR(HLOOKUP(C$2,$M$2:$BL122,$J122,FALSE),""))</f>
        <v/>
      </c>
      <c r="D122" s="16" t="str">
        <f>IF(IFERROR(HLOOKUP(D$2,$M$2:$BL122,$J122,FALSE),"")="","",IFERROR(HLOOKUP(D$2,$M$2:$BL122,$J122,FALSE),""))</f>
        <v/>
      </c>
      <c r="E122" s="16" t="str">
        <f>IF(IFERROR(HLOOKUP(E$2,$M$2:$BL122,$J122,FALSE),"")="","",IFERROR(HLOOKUP(E$2,$M$2:$BL122,$J122,FALSE),""))</f>
        <v/>
      </c>
      <c r="F122" s="16" t="str">
        <f>IF(IFERROR(HLOOKUP(F$2,$M$2:$BL122,$J122,FALSE),"")="","",IFERROR(HLOOKUP(F$2,$M$2:$BL122,$J122,FALSE),""))</f>
        <v/>
      </c>
      <c r="G122" s="16" t="str">
        <f>IF(IFERROR(HLOOKUP(G$2,$M$2:$BL122,$J122,FALSE),"")="","",IFERROR(HLOOKUP(G$2,$M$2:$BL122,$J122,FALSE),""))</f>
        <v/>
      </c>
      <c r="J122" s="17">
        <f t="shared" si="8"/>
        <v>121</v>
      </c>
      <c r="L122" s="16" t="s">
        <v>30</v>
      </c>
      <c r="S122" s="16" t="s">
        <v>411</v>
      </c>
      <c r="T122" s="16" t="s">
        <v>192</v>
      </c>
      <c r="V122" s="16" t="s">
        <v>103</v>
      </c>
    </row>
    <row r="123" spans="1:26" ht="15" customHeight="1">
      <c r="A123" s="16" t="str">
        <f t="shared" si="15"/>
        <v>A</v>
      </c>
      <c r="B123" s="16" t="str">
        <f>IF(IFERROR(HLOOKUP(B$2,$M$2:$BL123,$J123,FALSE),"")="","",IFERROR(HLOOKUP(B$2,$M$2:$BL123,$J123,FALSE),""))</f>
        <v/>
      </c>
      <c r="C123" s="16" t="str">
        <f>IF(IFERROR(HLOOKUP(C$2,$M$2:$BL123,$J123,FALSE),"")="","",IFERROR(HLOOKUP(C$2,$M$2:$BL123,$J123,FALSE),""))</f>
        <v/>
      </c>
      <c r="D123" s="16" t="str">
        <f>IF(IFERROR(HLOOKUP(D$2,$M$2:$BL123,$J123,FALSE),"")="","",IFERROR(HLOOKUP(D$2,$M$2:$BL123,$J123,FALSE),""))</f>
        <v/>
      </c>
      <c r="E123" s="16" t="str">
        <f>IF(IFERROR(HLOOKUP(E$2,$M$2:$BL123,$J123,FALSE),"")="","",IFERROR(HLOOKUP(E$2,$M$2:$BL123,$J123,FALSE),""))</f>
        <v/>
      </c>
      <c r="F123" s="16" t="str">
        <f>IF(IFERROR(HLOOKUP(F$2,$M$2:$BL123,$J123,FALSE),"")="","",IFERROR(HLOOKUP(F$2,$M$2:$BL123,$J123,FALSE),""))</f>
        <v/>
      </c>
      <c r="G123" s="16" t="str">
        <f>IF(IFERROR(HLOOKUP(G$2,$M$2:$BL123,$J123,FALSE),"")="","",IFERROR(HLOOKUP(G$2,$M$2:$BL123,$J123,FALSE),""))</f>
        <v/>
      </c>
      <c r="J123" s="17">
        <f t="shared" si="8"/>
        <v>122</v>
      </c>
      <c r="L123" s="16" t="s">
        <v>63</v>
      </c>
      <c r="S123" s="16" t="s">
        <v>260</v>
      </c>
      <c r="T123" s="16" t="s">
        <v>621</v>
      </c>
      <c r="V123" s="27" t="s">
        <v>704</v>
      </c>
    </row>
    <row r="124" spans="1:26" ht="15" customHeight="1">
      <c r="A124" s="16" t="str">
        <f t="shared" si="15"/>
        <v>BBB</v>
      </c>
      <c r="B124" s="16" t="str">
        <f>IF(IFERROR(HLOOKUP(B$2,$M$2:$BL124,$J124,FALSE),"")="","",IFERROR(HLOOKUP(B$2,$M$2:$BL124,$J124,FALSE),""))</f>
        <v/>
      </c>
      <c r="C124" s="16" t="str">
        <f>IF(IFERROR(HLOOKUP(C$2,$M$2:$BL124,$J124,FALSE),"")="","",IFERROR(HLOOKUP(C$2,$M$2:$BL124,$J124,FALSE),""))</f>
        <v/>
      </c>
      <c r="D124" s="16" t="str">
        <f>IF(IFERROR(HLOOKUP(D$2,$M$2:$BL124,$J124,FALSE),"")="","",IFERROR(HLOOKUP(D$2,$M$2:$BL124,$J124,FALSE),""))</f>
        <v/>
      </c>
      <c r="E124" s="16" t="str">
        <f>IF(IFERROR(HLOOKUP(E$2,$M$2:$BL124,$J124,FALSE),"")="","",IFERROR(HLOOKUP(E$2,$M$2:$BL124,$J124,FALSE),""))</f>
        <v/>
      </c>
      <c r="F124" s="16" t="str">
        <f>IF(IFERROR(HLOOKUP(F$2,$M$2:$BL124,$J124,FALSE),"")="","",IFERROR(HLOOKUP(F$2,$M$2:$BL124,$J124,FALSE),""))</f>
        <v/>
      </c>
      <c r="G124" s="16" t="str">
        <f>IF(IFERROR(HLOOKUP(G$2,$M$2:$BL124,$J124,FALSE),"")="","",IFERROR(HLOOKUP(G$2,$M$2:$BL124,$J124,FALSE),""))</f>
        <v/>
      </c>
      <c r="J124" s="17">
        <f t="shared" si="8"/>
        <v>123</v>
      </c>
      <c r="L124" s="16" t="s">
        <v>72</v>
      </c>
      <c r="S124" s="16" t="s">
        <v>266</v>
      </c>
      <c r="T124" s="16" t="s">
        <v>482</v>
      </c>
      <c r="V124" s="27" t="s">
        <v>704</v>
      </c>
    </row>
    <row r="125" spans="1:26" ht="15" customHeight="1">
      <c r="A125" s="16" t="str">
        <f t="shared" si="15"/>
        <v>BB</v>
      </c>
      <c r="B125" s="16" t="str">
        <f>IF(IFERROR(HLOOKUP(B$2,$M$2:$BL125,$J125,FALSE),"")="","",IFERROR(HLOOKUP(B$2,$M$2:$BL125,$J125,FALSE),""))</f>
        <v/>
      </c>
      <c r="C125" s="16" t="str">
        <f>IF(IFERROR(HLOOKUP(C$2,$M$2:$BL125,$J125,FALSE),"")="","",IFERROR(HLOOKUP(C$2,$M$2:$BL125,$J125,FALSE),""))</f>
        <v/>
      </c>
      <c r="D125" s="16" t="str">
        <f>IF(IFERROR(HLOOKUP(D$2,$M$2:$BL125,$J125,FALSE),"")="","",IFERROR(HLOOKUP(D$2,$M$2:$BL125,$J125,FALSE),""))</f>
        <v/>
      </c>
      <c r="E125" s="16" t="str">
        <f>IF(IFERROR(HLOOKUP(E$2,$M$2:$BL125,$J125,FALSE),"")="","",IFERROR(HLOOKUP(E$2,$M$2:$BL125,$J125,FALSE),""))</f>
        <v/>
      </c>
      <c r="F125" s="16" t="str">
        <f>IF(IFERROR(HLOOKUP(F$2,$M$2:$BL125,$J125,FALSE),"")="","",IFERROR(HLOOKUP(F$2,$M$2:$BL125,$J125,FALSE),""))</f>
        <v/>
      </c>
      <c r="G125" s="16" t="str">
        <f>IF(IFERROR(HLOOKUP(G$2,$M$2:$BL125,$J125,FALSE),"")="","",IFERROR(HLOOKUP(G$2,$M$2:$BL125,$J125,FALSE),""))</f>
        <v/>
      </c>
      <c r="J125" s="17">
        <f t="shared" si="8"/>
        <v>124</v>
      </c>
      <c r="L125" s="16" t="s">
        <v>94</v>
      </c>
      <c r="S125" s="16" t="s">
        <v>439</v>
      </c>
      <c r="T125" s="16" t="s">
        <v>490</v>
      </c>
      <c r="V125" s="28" t="s">
        <v>705</v>
      </c>
    </row>
    <row r="126" spans="1:26" ht="15" customHeight="1">
      <c r="A126" s="16" t="str">
        <f t="shared" si="15"/>
        <v>B</v>
      </c>
      <c r="B126" s="16" t="str">
        <f>IF(IFERROR(HLOOKUP(B$2,$M$2:$BL126,$J126,FALSE),"")="","",IFERROR(HLOOKUP(B$2,$M$2:$BL126,$J126,FALSE),""))</f>
        <v/>
      </c>
      <c r="C126" s="16" t="str">
        <f>IF(IFERROR(HLOOKUP(C$2,$M$2:$BL126,$J126,FALSE),"")="","",IFERROR(HLOOKUP(C$2,$M$2:$BL126,$J126,FALSE),""))</f>
        <v/>
      </c>
      <c r="D126" s="16" t="str">
        <f>IF(IFERROR(HLOOKUP(D$2,$M$2:$BL126,$J126,FALSE),"")="","",IFERROR(HLOOKUP(D$2,$M$2:$BL126,$J126,FALSE),""))</f>
        <v/>
      </c>
      <c r="E126" s="16" t="str">
        <f>IF(IFERROR(HLOOKUP(E$2,$M$2:$BL126,$J126,FALSE),"")="","",IFERROR(HLOOKUP(E$2,$M$2:$BL126,$J126,FALSE),""))</f>
        <v/>
      </c>
      <c r="F126" s="16" t="str">
        <f>IF(IFERROR(HLOOKUP(F$2,$M$2:$BL126,$J126,FALSE),"")="","",IFERROR(HLOOKUP(F$2,$M$2:$BL126,$J126,FALSE),""))</f>
        <v/>
      </c>
      <c r="G126" s="16" t="str">
        <f>IF(IFERROR(HLOOKUP(G$2,$M$2:$BL126,$J126,FALSE),"")="","",IFERROR(HLOOKUP(G$2,$M$2:$BL126,$J126,FALSE),""))</f>
        <v/>
      </c>
      <c r="J126" s="17">
        <f t="shared" si="8"/>
        <v>125</v>
      </c>
      <c r="L126" s="16" t="s">
        <v>136</v>
      </c>
      <c r="S126" s="16" t="s">
        <v>675</v>
      </c>
      <c r="T126" s="16" t="s">
        <v>503</v>
      </c>
      <c r="V126" s="28" t="s">
        <v>705</v>
      </c>
    </row>
    <row r="127" spans="1:26" ht="15" customHeight="1">
      <c r="A127" s="16" t="str">
        <f t="shared" si="15"/>
        <v>CCC and below</v>
      </c>
      <c r="B127" s="16" t="str">
        <f>IF(IFERROR(HLOOKUP(B$2,$M$2:$BL127,$J127,FALSE),"")="","",IFERROR(HLOOKUP(B$2,$M$2:$BL127,$J127,FALSE),""))</f>
        <v/>
      </c>
      <c r="C127" s="16" t="str">
        <f>IF(IFERROR(HLOOKUP(C$2,$M$2:$BL127,$J127,FALSE),"")="","",IFERROR(HLOOKUP(C$2,$M$2:$BL127,$J127,FALSE),""))</f>
        <v/>
      </c>
      <c r="D127" s="16" t="str">
        <f>IF(IFERROR(HLOOKUP(D$2,$M$2:$BL127,$J127,FALSE),"")="","",IFERROR(HLOOKUP(D$2,$M$2:$BL127,$J127,FALSE),""))</f>
        <v/>
      </c>
      <c r="E127" s="16" t="str">
        <f>IF(IFERROR(HLOOKUP(E$2,$M$2:$BL127,$J127,FALSE),"")="","",IFERROR(HLOOKUP(E$2,$M$2:$BL127,$J127,FALSE),""))</f>
        <v/>
      </c>
      <c r="F127" s="16" t="str">
        <f>IF(IFERROR(HLOOKUP(F$2,$M$2:$BL127,$J127,FALSE),"")="","",IFERROR(HLOOKUP(F$2,$M$2:$BL127,$J127,FALSE),""))</f>
        <v/>
      </c>
      <c r="G127" s="16" t="str">
        <f>IF(IFERROR(HLOOKUP(G$2,$M$2:$BL127,$J127,FALSE),"")="","",IFERROR(HLOOKUP(G$2,$M$2:$BL127,$J127,FALSE),""))</f>
        <v/>
      </c>
      <c r="J127" s="17">
        <f t="shared" si="8"/>
        <v>126</v>
      </c>
      <c r="L127" s="16" t="s">
        <v>163</v>
      </c>
      <c r="S127" s="16" t="s">
        <v>648</v>
      </c>
      <c r="T127" s="16" t="s">
        <v>702</v>
      </c>
      <c r="V127" s="16" t="s">
        <v>706</v>
      </c>
    </row>
    <row r="128" spans="1:26" s="19" customFormat="1" ht="15" customHeight="1">
      <c r="A128" s="22" t="str">
        <f>+K128</f>
        <v>Factor 5</v>
      </c>
      <c r="B128" s="22" t="str">
        <f>IF(IFERROR(HLOOKUP(B$2,$M$2:$BL128,$J128,FALSE),"")="","",IFERROR(HLOOKUP(B$2,$M$2:$BL128,$J128,FALSE),""))</f>
        <v/>
      </c>
      <c r="C128" s="22" t="str">
        <f>IF(IFERROR(HLOOKUP(C$2,$M$2:$BL128,$J128,FALSE),"")="","",IFERROR(HLOOKUP(C$2,$M$2:$BL128,$J128,FALSE),""))</f>
        <v/>
      </c>
      <c r="D128" s="22" t="str">
        <f>IF(IFERROR(HLOOKUP(D$2,$M$2:$BL128,$J128,FALSE),"")="","",IFERROR(HLOOKUP(D$2,$M$2:$BL128,$J128,FALSE),""))</f>
        <v/>
      </c>
      <c r="E128" s="22" t="str">
        <f>IF(IFERROR(HLOOKUP(E$2,$M$2:$BL128,$J128,FALSE),"")="","",IFERROR(HLOOKUP(E$2,$M$2:$BL128,$J128,FALSE),""))</f>
        <v/>
      </c>
      <c r="F128" s="22" t="str">
        <f>IF(IFERROR(HLOOKUP(F$2,$M$2:$BL128,$J128,FALSE),"")="","",IFERROR(HLOOKUP(F$2,$M$2:$BL128,$J128,FALSE),""))</f>
        <v/>
      </c>
      <c r="G128" s="22" t="str">
        <f>IF(IFERROR(HLOOKUP(G$2,$M$2:$BL128,$J128,FALSE),"")="","",IFERROR(HLOOKUP(G$2,$M$2:$BL128,$J128,FALSE),""))</f>
        <v/>
      </c>
      <c r="H128" s="22"/>
      <c r="J128" s="20">
        <f t="shared" si="8"/>
        <v>127</v>
      </c>
      <c r="K128" s="19" t="s">
        <v>298</v>
      </c>
      <c r="T128" s="19" t="s">
        <v>707</v>
      </c>
    </row>
    <row r="129" spans="1:25" ht="15" customHeight="1">
      <c r="A129" s="16" t="str">
        <f t="shared" ref="A129:A134" si="16">+L129</f>
        <v>AA and above</v>
      </c>
      <c r="B129" s="16" t="str">
        <f>IF(IFERROR(HLOOKUP(B$2,$M$2:$BL129,$J129,FALSE),"")="","",IFERROR(HLOOKUP(B$2,$M$2:$BL129,$J129,FALSE),""))</f>
        <v/>
      </c>
      <c r="C129" s="16" t="str">
        <f>IF(IFERROR(HLOOKUP(C$2,$M$2:$BL129,$J129,FALSE),"")="","",IFERROR(HLOOKUP(C$2,$M$2:$BL129,$J129,FALSE),""))</f>
        <v/>
      </c>
      <c r="D129" s="16" t="str">
        <f>IF(IFERROR(HLOOKUP(D$2,$M$2:$BL129,$J129,FALSE),"")="","",IFERROR(HLOOKUP(D$2,$M$2:$BL129,$J129,FALSE),""))</f>
        <v/>
      </c>
      <c r="E129" s="16" t="str">
        <f>IF(IFERROR(HLOOKUP(E$2,$M$2:$BL129,$J129,FALSE),"")="","",IFERROR(HLOOKUP(E$2,$M$2:$BL129,$J129,FALSE),""))</f>
        <v/>
      </c>
      <c r="F129" s="16" t="str">
        <f>IF(IFERROR(HLOOKUP(F$2,$M$2:$BL129,$J129,FALSE),"")="","",IFERROR(HLOOKUP(F$2,$M$2:$BL129,$J129,FALSE),""))</f>
        <v/>
      </c>
      <c r="G129" s="16" t="str">
        <f>IF(IFERROR(HLOOKUP(G$2,$M$2:$BL129,$J129,FALSE),"")="","",IFERROR(HLOOKUP(G$2,$M$2:$BL129,$J129,FALSE),""))</f>
        <v/>
      </c>
      <c r="J129" s="17">
        <f t="shared" si="8"/>
        <v>128</v>
      </c>
      <c r="L129" s="16" t="s">
        <v>30</v>
      </c>
      <c r="S129" s="21"/>
      <c r="T129" s="27" t="s">
        <v>708</v>
      </c>
    </row>
    <row r="130" spans="1:25" ht="15" customHeight="1">
      <c r="A130" s="16" t="str">
        <f t="shared" si="16"/>
        <v>A</v>
      </c>
      <c r="B130" s="16" t="str">
        <f>IF(IFERROR(HLOOKUP(B$2,$M$2:$BL130,$J130,FALSE),"")="","",IFERROR(HLOOKUP(B$2,$M$2:$BL130,$J130,FALSE),""))</f>
        <v/>
      </c>
      <c r="C130" s="16" t="str">
        <f>IF(IFERROR(HLOOKUP(C$2,$M$2:$BL130,$J130,FALSE),"")="","",IFERROR(HLOOKUP(C$2,$M$2:$BL130,$J130,FALSE),""))</f>
        <v/>
      </c>
      <c r="D130" s="16" t="str">
        <f>IF(IFERROR(HLOOKUP(D$2,$M$2:$BL130,$J130,FALSE),"")="","",IFERROR(HLOOKUP(D$2,$M$2:$BL130,$J130,FALSE),""))</f>
        <v/>
      </c>
      <c r="E130" s="16" t="str">
        <f>IF(IFERROR(HLOOKUP(E$2,$M$2:$BL130,$J130,FALSE),"")="","",IFERROR(HLOOKUP(E$2,$M$2:$BL130,$J130,FALSE),""))</f>
        <v/>
      </c>
      <c r="F130" s="16" t="str">
        <f>IF(IFERROR(HLOOKUP(F$2,$M$2:$BL130,$J130,FALSE),"")="","",IFERROR(HLOOKUP(F$2,$M$2:$BL130,$J130,FALSE),""))</f>
        <v/>
      </c>
      <c r="G130" s="16" t="str">
        <f>IF(IFERROR(HLOOKUP(G$2,$M$2:$BL130,$J130,FALSE),"")="","",IFERROR(HLOOKUP(G$2,$M$2:$BL130,$J130,FALSE),""))</f>
        <v/>
      </c>
      <c r="J130" s="17">
        <f t="shared" si="8"/>
        <v>129</v>
      </c>
      <c r="L130" s="16" t="s">
        <v>63</v>
      </c>
      <c r="S130" s="21"/>
      <c r="T130" s="27" t="s">
        <v>708</v>
      </c>
    </row>
    <row r="131" spans="1:25" ht="15" customHeight="1">
      <c r="A131" s="16" t="str">
        <f t="shared" si="16"/>
        <v>BBB</v>
      </c>
      <c r="B131" s="16" t="str">
        <f>IF(IFERROR(HLOOKUP(B$2,$M$2:$BL131,$J131,FALSE),"")="","",IFERROR(HLOOKUP(B$2,$M$2:$BL131,$J131,FALSE),""))</f>
        <v/>
      </c>
      <c r="C131" s="16" t="str">
        <f>IF(IFERROR(HLOOKUP(C$2,$M$2:$BL131,$J131,FALSE),"")="","",IFERROR(HLOOKUP(C$2,$M$2:$BL131,$J131,FALSE),""))</f>
        <v/>
      </c>
      <c r="D131" s="16" t="str">
        <f>IF(IFERROR(HLOOKUP(D$2,$M$2:$BL131,$J131,FALSE),"")="","",IFERROR(HLOOKUP(D$2,$M$2:$BL131,$J131,FALSE),""))</f>
        <v/>
      </c>
      <c r="E131" s="16" t="str">
        <f>IF(IFERROR(HLOOKUP(E$2,$M$2:$BL131,$J131,FALSE),"")="","",IFERROR(HLOOKUP(E$2,$M$2:$BL131,$J131,FALSE),""))</f>
        <v/>
      </c>
      <c r="F131" s="16" t="str">
        <f>IF(IFERROR(HLOOKUP(F$2,$M$2:$BL131,$J131,FALSE),"")="","",IFERROR(HLOOKUP(F$2,$M$2:$BL131,$J131,FALSE),""))</f>
        <v/>
      </c>
      <c r="G131" s="16" t="str">
        <f>IF(IFERROR(HLOOKUP(G$2,$M$2:$BL131,$J131,FALSE),"")="","",IFERROR(HLOOKUP(G$2,$M$2:$BL131,$J131,FALSE),""))</f>
        <v/>
      </c>
      <c r="J131" s="17">
        <f t="shared" ref="J131:J194" si="17">+J130+1</f>
        <v>130</v>
      </c>
      <c r="L131" s="16" t="s">
        <v>72</v>
      </c>
      <c r="S131" s="21"/>
      <c r="T131" s="27" t="s">
        <v>708</v>
      </c>
    </row>
    <row r="132" spans="1:25" ht="15" customHeight="1">
      <c r="A132" s="16" t="str">
        <f t="shared" si="16"/>
        <v>BB</v>
      </c>
      <c r="B132" s="16" t="str">
        <f>IF(IFERROR(HLOOKUP(B$2,$M$2:$BL132,$J132,FALSE),"")="","",IFERROR(HLOOKUP(B$2,$M$2:$BL132,$J132,FALSE),""))</f>
        <v/>
      </c>
      <c r="C132" s="16" t="str">
        <f>IF(IFERROR(HLOOKUP(C$2,$M$2:$BL132,$J132,FALSE),"")="","",IFERROR(HLOOKUP(C$2,$M$2:$BL132,$J132,FALSE),""))</f>
        <v/>
      </c>
      <c r="D132" s="16" t="str">
        <f>IF(IFERROR(HLOOKUP(D$2,$M$2:$BL132,$J132,FALSE),"")="","",IFERROR(HLOOKUP(D$2,$M$2:$BL132,$J132,FALSE),""))</f>
        <v/>
      </c>
      <c r="E132" s="16" t="str">
        <f>IF(IFERROR(HLOOKUP(E$2,$M$2:$BL132,$J132,FALSE),"")="","",IFERROR(HLOOKUP(E$2,$M$2:$BL132,$J132,FALSE),""))</f>
        <v/>
      </c>
      <c r="F132" s="16" t="str">
        <f>IF(IFERROR(HLOOKUP(F$2,$M$2:$BL132,$J132,FALSE),"")="","",IFERROR(HLOOKUP(F$2,$M$2:$BL132,$J132,FALSE),""))</f>
        <v/>
      </c>
      <c r="G132" s="16" t="str">
        <f>IF(IFERROR(HLOOKUP(G$2,$M$2:$BL132,$J132,FALSE),"")="","",IFERROR(HLOOKUP(G$2,$M$2:$BL132,$J132,FALSE),""))</f>
        <v/>
      </c>
      <c r="J132" s="17">
        <f t="shared" si="17"/>
        <v>131</v>
      </c>
      <c r="L132" s="16" t="s">
        <v>94</v>
      </c>
      <c r="S132" s="21"/>
      <c r="T132" s="27" t="s">
        <v>709</v>
      </c>
    </row>
    <row r="133" spans="1:25" ht="15" customHeight="1">
      <c r="A133" s="16" t="str">
        <f t="shared" si="16"/>
        <v>B</v>
      </c>
      <c r="B133" s="16" t="str">
        <f>IF(IFERROR(HLOOKUP(B$2,$M$2:$BL133,$J133,FALSE),"")="","",IFERROR(HLOOKUP(B$2,$M$2:$BL133,$J133,FALSE),""))</f>
        <v/>
      </c>
      <c r="C133" s="16" t="str">
        <f>IF(IFERROR(HLOOKUP(C$2,$M$2:$BL133,$J133,FALSE),"")="","",IFERROR(HLOOKUP(C$2,$M$2:$BL133,$J133,FALSE),""))</f>
        <v/>
      </c>
      <c r="D133" s="16" t="str">
        <f>IF(IFERROR(HLOOKUP(D$2,$M$2:$BL133,$J133,FALSE),"")="","",IFERROR(HLOOKUP(D$2,$M$2:$BL133,$J133,FALSE),""))</f>
        <v/>
      </c>
      <c r="E133" s="16" t="str">
        <f>IF(IFERROR(HLOOKUP(E$2,$M$2:$BL133,$J133,FALSE),"")="","",IFERROR(HLOOKUP(E$2,$M$2:$BL133,$J133,FALSE),""))</f>
        <v/>
      </c>
      <c r="F133" s="16" t="str">
        <f>IF(IFERROR(HLOOKUP(F$2,$M$2:$BL133,$J133,FALSE),"")="","",IFERROR(HLOOKUP(F$2,$M$2:$BL133,$J133,FALSE),""))</f>
        <v/>
      </c>
      <c r="G133" s="16" t="str">
        <f>IF(IFERROR(HLOOKUP(G$2,$M$2:$BL133,$J133,FALSE),"")="","",IFERROR(HLOOKUP(G$2,$M$2:$BL133,$J133,FALSE),""))</f>
        <v/>
      </c>
      <c r="J133" s="17">
        <f t="shared" si="17"/>
        <v>132</v>
      </c>
      <c r="L133" s="16" t="s">
        <v>136</v>
      </c>
      <c r="S133" s="21"/>
      <c r="T133" s="27" t="s">
        <v>709</v>
      </c>
    </row>
    <row r="134" spans="1:25" ht="15" customHeight="1">
      <c r="A134" s="16" t="str">
        <f t="shared" si="16"/>
        <v>CCC and below</v>
      </c>
      <c r="B134" s="16" t="str">
        <f>IF(IFERROR(HLOOKUP(B$2,$M$2:$BL134,$J134,FALSE),"")="","",IFERROR(HLOOKUP(B$2,$M$2:$BL134,$J134,FALSE),""))</f>
        <v/>
      </c>
      <c r="C134" s="16" t="str">
        <f>IF(IFERROR(HLOOKUP(C$2,$M$2:$BL134,$J134,FALSE),"")="","",IFERROR(HLOOKUP(C$2,$M$2:$BL134,$J134,FALSE),""))</f>
        <v/>
      </c>
      <c r="D134" s="16" t="str">
        <f>IF(IFERROR(HLOOKUP(D$2,$M$2:$BL134,$J134,FALSE),"")="","",IFERROR(HLOOKUP(D$2,$M$2:$BL134,$J134,FALSE),""))</f>
        <v/>
      </c>
      <c r="E134" s="16" t="str">
        <f>IF(IFERROR(HLOOKUP(E$2,$M$2:$BL134,$J134,FALSE),"")="","",IFERROR(HLOOKUP(E$2,$M$2:$BL134,$J134,FALSE),""))</f>
        <v/>
      </c>
      <c r="F134" s="16" t="str">
        <f>IF(IFERROR(HLOOKUP(F$2,$M$2:$BL134,$J134,FALSE),"")="","",IFERROR(HLOOKUP(F$2,$M$2:$BL134,$J134,FALSE),""))</f>
        <v/>
      </c>
      <c r="G134" s="16" t="str">
        <f>IF(IFERROR(HLOOKUP(G$2,$M$2:$BL134,$J134,FALSE),"")="","",IFERROR(HLOOKUP(G$2,$M$2:$BL134,$J134,FALSE),""))</f>
        <v/>
      </c>
      <c r="J134" s="17">
        <f t="shared" si="17"/>
        <v>133</v>
      </c>
      <c r="L134" s="16" t="s">
        <v>163</v>
      </c>
      <c r="S134" s="21"/>
      <c r="T134" s="27" t="s">
        <v>709</v>
      </c>
    </row>
    <row r="135" spans="1:25">
      <c r="J135" s="17">
        <f t="shared" si="17"/>
        <v>134</v>
      </c>
    </row>
    <row r="136" spans="1:25">
      <c r="B136" s="19" t="s">
        <v>710</v>
      </c>
      <c r="C136" s="19" t="s">
        <v>711</v>
      </c>
      <c r="D136" s="19" t="s">
        <v>712</v>
      </c>
      <c r="E136" s="19" t="s">
        <v>713</v>
      </c>
      <c r="F136" s="19" t="s">
        <v>714</v>
      </c>
      <c r="G136" s="19" t="s">
        <v>715</v>
      </c>
      <c r="H136" s="19"/>
      <c r="J136" s="17">
        <f t="shared" si="17"/>
        <v>135</v>
      </c>
    </row>
    <row r="137" spans="1:25">
      <c r="B137" s="19" t="s">
        <v>716</v>
      </c>
      <c r="C137" s="19" t="s">
        <v>717</v>
      </c>
      <c r="D137" s="19" t="s">
        <v>718</v>
      </c>
      <c r="E137" s="19" t="s">
        <v>719</v>
      </c>
      <c r="F137" s="19" t="s">
        <v>720</v>
      </c>
      <c r="G137" s="19" t="s">
        <v>721</v>
      </c>
      <c r="H137" s="19"/>
      <c r="J137" s="17">
        <f t="shared" si="17"/>
        <v>136</v>
      </c>
    </row>
    <row r="138" spans="1:25">
      <c r="B138" s="19" t="s">
        <v>722</v>
      </c>
      <c r="C138" s="19" t="s">
        <v>723</v>
      </c>
      <c r="D138" s="19" t="s">
        <v>724</v>
      </c>
      <c r="E138" s="19" t="s">
        <v>725</v>
      </c>
      <c r="F138" s="19" t="s">
        <v>726</v>
      </c>
      <c r="G138" s="19" t="s">
        <v>727</v>
      </c>
      <c r="H138" s="19"/>
      <c r="J138" s="17">
        <f t="shared" si="17"/>
        <v>137</v>
      </c>
    </row>
    <row r="139" spans="1:25">
      <c r="B139" s="19" t="s">
        <v>728</v>
      </c>
      <c r="C139" s="19" t="s">
        <v>729</v>
      </c>
      <c r="D139" s="19" t="s">
        <v>730</v>
      </c>
      <c r="E139" s="19" t="s">
        <v>731</v>
      </c>
      <c r="F139" s="19" t="s">
        <v>732</v>
      </c>
      <c r="G139" s="19" t="s">
        <v>733</v>
      </c>
      <c r="H139" s="19"/>
      <c r="J139" s="17">
        <f t="shared" si="17"/>
        <v>138</v>
      </c>
    </row>
    <row r="140" spans="1:25">
      <c r="B140" s="19" t="s">
        <v>734</v>
      </c>
      <c r="C140" s="19" t="s">
        <v>735</v>
      </c>
      <c r="D140" s="19" t="s">
        <v>736</v>
      </c>
      <c r="E140" s="19" t="s">
        <v>737</v>
      </c>
      <c r="F140" s="19" t="s">
        <v>738</v>
      </c>
      <c r="G140" s="19" t="s">
        <v>739</v>
      </c>
      <c r="H140" s="19"/>
      <c r="J140" s="17">
        <f t="shared" si="17"/>
        <v>139</v>
      </c>
    </row>
    <row r="141" spans="1:25">
      <c r="J141" s="16">
        <f t="shared" si="17"/>
        <v>140</v>
      </c>
    </row>
    <row r="142" spans="1:25" s="18" customFormat="1">
      <c r="A142" s="24" t="s">
        <v>740</v>
      </c>
      <c r="B142" s="18" t="str">
        <f>IF(IFERROR(HLOOKUP(B$2,$M$2:$BL142,$J142,FALSE),"")="","",IFERROR(HLOOKUP(B$2,$M$2:$BL142,$J142,FALSE),""))</f>
        <v/>
      </c>
      <c r="C142" s="18" t="str">
        <f>IF(IFERROR(HLOOKUP(C$2,$M$2:$BL142,$J142,FALSE),"")="","",IFERROR(HLOOKUP(C$2,$M$2:$BL142,$J142,FALSE),""))</f>
        <v/>
      </c>
      <c r="D142" s="18" t="str">
        <f>IF(IFERROR(HLOOKUP(D$2,$M$2:$BL142,$J142,FALSE),"")="","",IFERROR(HLOOKUP(D$2,$M$2:$BL142,$J142,FALSE),""))</f>
        <v/>
      </c>
      <c r="E142" s="18" t="str">
        <f>IF(IFERROR(HLOOKUP(E$2,$M$2:$BL142,$J142,FALSE),"")="","",IFERROR(HLOOKUP(E$2,$M$2:$BL142,$J142,FALSE),""))</f>
        <v/>
      </c>
      <c r="F142" s="18" t="str">
        <f>IF(IFERROR(HLOOKUP(F$2,$M$2:$BL142,$J142,FALSE),"")="","",IFERROR(HLOOKUP(F$2,$M$2:$BL142,$J142,FALSE),""))</f>
        <v/>
      </c>
      <c r="G142" s="18" t="str">
        <f>IF(IFERROR(HLOOKUP(G$2,$M$2:$BL142,$J142,FALSE),"")="","",IFERROR(HLOOKUP(G$2,$M$2:$BL142,$J142,FALSE),""))</f>
        <v/>
      </c>
      <c r="J142" s="18">
        <f t="shared" si="17"/>
        <v>141</v>
      </c>
      <c r="M142" s="16"/>
      <c r="P142" s="18" t="s">
        <v>741</v>
      </c>
      <c r="Q142" s="18" t="s">
        <v>742</v>
      </c>
      <c r="R142" s="18" t="s">
        <v>743</v>
      </c>
      <c r="S142" s="18" t="s">
        <v>744</v>
      </c>
      <c r="U142" s="18" t="s">
        <v>745</v>
      </c>
      <c r="V142" s="18" t="s">
        <v>746</v>
      </c>
      <c r="Y142" s="18" t="s">
        <v>747</v>
      </c>
    </row>
    <row r="143" spans="1:25" s="19" customFormat="1">
      <c r="A143" s="22" t="str">
        <f t="shared" ref="A143:A177" si="18">+A100</f>
        <v>Factor 1</v>
      </c>
      <c r="B143" s="22" t="str">
        <f>IF(IFERROR(HLOOKUP(B$2,$M$2:$BL143,$J143,FALSE),"")="","",IFERROR(HLOOKUP(B$2,$M$2:$BL143,$J143,FALSE),""))</f>
        <v/>
      </c>
      <c r="C143" s="22" t="str">
        <f>IF(IFERROR(HLOOKUP(C$2,$M$2:$BL143,$J143,FALSE),"")="","",IFERROR(HLOOKUP(C$2,$M$2:$BL143,$J143,FALSE),""))</f>
        <v/>
      </c>
      <c r="D143" s="22" t="str">
        <f>IF(IFERROR(HLOOKUP(D$2,$M$2:$BL143,$J143,FALSE),"")="","",IFERROR(HLOOKUP(D$2,$M$2:$BL143,$J143,FALSE),""))</f>
        <v/>
      </c>
      <c r="E143" s="22" t="str">
        <f>IF(IFERROR(HLOOKUP(E$2,$M$2:$BL143,$J143,FALSE),"")="","",IFERROR(HLOOKUP(E$2,$M$2:$BL143,$J143,FALSE),""))</f>
        <v/>
      </c>
      <c r="F143" s="22" t="str">
        <f>IF(IFERROR(HLOOKUP(F$2,$M$2:$BL143,$J143,FALSE),"")="","",IFERROR(HLOOKUP(F$2,$M$2:$BL143,$J143,FALSE),""))</f>
        <v/>
      </c>
      <c r="G143" s="22" t="str">
        <f>IF(IFERROR(HLOOKUP(G$2,$M$2:$BL143,$J143,FALSE),"")="","",IFERROR(HLOOKUP(G$2,$M$2:$BL143,$J143,FALSE),""))</f>
        <v/>
      </c>
      <c r="H143" s="22"/>
      <c r="J143" s="19">
        <f t="shared" si="17"/>
        <v>142</v>
      </c>
      <c r="P143" s="19" t="s">
        <v>748</v>
      </c>
      <c r="Q143" s="19" t="s">
        <v>749</v>
      </c>
      <c r="R143" s="19" t="s">
        <v>750</v>
      </c>
      <c r="S143" s="19" t="s">
        <v>751</v>
      </c>
      <c r="U143" s="19" t="s">
        <v>752</v>
      </c>
      <c r="V143" s="19" t="s">
        <v>753</v>
      </c>
      <c r="Y143" s="19" t="s">
        <v>754</v>
      </c>
    </row>
    <row r="144" spans="1:25">
      <c r="A144" s="16" t="str">
        <f t="shared" si="18"/>
        <v>AA and above</v>
      </c>
      <c r="B144" s="16" t="str">
        <f>IF(IFERROR(HLOOKUP(B$2,$M$2:$BL144,$J144,FALSE),"")="","",IFERROR(HLOOKUP(B$2,$M$2:$BL144,$J144,FALSE),""))</f>
        <v/>
      </c>
      <c r="C144" s="16" t="str">
        <f>IF(IFERROR(HLOOKUP(C$2,$M$2:$BL144,$J144,FALSE),"")="","",IFERROR(HLOOKUP(C$2,$M$2:$BL144,$J144,FALSE),""))</f>
        <v/>
      </c>
      <c r="D144" s="16" t="str">
        <f>IF(IFERROR(HLOOKUP(D$2,$M$2:$BL144,$J144,FALSE),"")="","",IFERROR(HLOOKUP(D$2,$M$2:$BL144,$J144,FALSE),""))</f>
        <v/>
      </c>
      <c r="E144" s="16" t="str">
        <f>IF(IFERROR(HLOOKUP(E$2,$M$2:$BL144,$J144,FALSE),"")="","",IFERROR(HLOOKUP(E$2,$M$2:$BL144,$J144,FALSE),""))</f>
        <v/>
      </c>
      <c r="F144" s="16" t="str">
        <f>IF(IFERROR(HLOOKUP(F$2,$M$2:$BL144,$J144,FALSE),"")="","",IFERROR(HLOOKUP(F$2,$M$2:$BL144,$J144,FALSE),""))</f>
        <v/>
      </c>
      <c r="G144" s="16" t="str">
        <f>IF(IFERROR(HLOOKUP(G$2,$M$2:$BL144,$J144,FALSE),"")="","",IFERROR(HLOOKUP(G$2,$M$2:$BL144,$J144,FALSE),""))</f>
        <v/>
      </c>
      <c r="J144" s="16">
        <f t="shared" si="17"/>
        <v>143</v>
      </c>
      <c r="P144" s="16" t="s">
        <v>755</v>
      </c>
      <c r="Q144" s="16" t="s">
        <v>756</v>
      </c>
      <c r="R144" s="16" t="s">
        <v>757</v>
      </c>
      <c r="S144" s="16" t="s">
        <v>758</v>
      </c>
      <c r="U144" s="16" t="s">
        <v>759</v>
      </c>
      <c r="V144" s="16" t="s">
        <v>103</v>
      </c>
      <c r="Y144" s="16" t="s">
        <v>192</v>
      </c>
    </row>
    <row r="145" spans="1:25">
      <c r="A145" s="16" t="str">
        <f t="shared" si="18"/>
        <v>A</v>
      </c>
      <c r="B145" s="16" t="str">
        <f>IF(IFERROR(HLOOKUP(B$2,$M$2:$BL145,$J145,FALSE),"")="","",IFERROR(HLOOKUP(B$2,$M$2:$BL145,$J145,FALSE),""))</f>
        <v/>
      </c>
      <c r="C145" s="16" t="str">
        <f>IF(IFERROR(HLOOKUP(C$2,$M$2:$BL145,$J145,FALSE),"")="","",IFERROR(HLOOKUP(C$2,$M$2:$BL145,$J145,FALSE),""))</f>
        <v/>
      </c>
      <c r="D145" s="16" t="str">
        <f>IF(IFERROR(HLOOKUP(D$2,$M$2:$BL145,$J145,FALSE),"")="","",IFERROR(HLOOKUP(D$2,$M$2:$BL145,$J145,FALSE),""))</f>
        <v/>
      </c>
      <c r="E145" s="16" t="str">
        <f>IF(IFERROR(HLOOKUP(E$2,$M$2:$BL145,$J145,FALSE),"")="","",IFERROR(HLOOKUP(E$2,$M$2:$BL145,$J145,FALSE),""))</f>
        <v/>
      </c>
      <c r="F145" s="16" t="str">
        <f>IF(IFERROR(HLOOKUP(F$2,$M$2:$BL145,$J145,FALSE),"")="","",IFERROR(HLOOKUP(F$2,$M$2:$BL145,$J145,FALSE),""))</f>
        <v/>
      </c>
      <c r="G145" s="16" t="str">
        <f>IF(IFERROR(HLOOKUP(G$2,$M$2:$BL145,$J145,FALSE),"")="","",IFERROR(HLOOKUP(G$2,$M$2:$BL145,$J145,FALSE),""))</f>
        <v/>
      </c>
      <c r="J145" s="16">
        <f t="shared" si="17"/>
        <v>144</v>
      </c>
      <c r="P145" s="16" t="s">
        <v>760</v>
      </c>
      <c r="Q145" s="16" t="s">
        <v>761</v>
      </c>
      <c r="R145" s="16" t="s">
        <v>757</v>
      </c>
      <c r="S145" s="16" t="s">
        <v>758</v>
      </c>
      <c r="U145" s="16" t="s">
        <v>759</v>
      </c>
      <c r="V145" s="16" t="s">
        <v>762</v>
      </c>
      <c r="Y145" s="16" t="s">
        <v>621</v>
      </c>
    </row>
    <row r="146" spans="1:25">
      <c r="A146" s="16" t="str">
        <f t="shared" si="18"/>
        <v>BBB</v>
      </c>
      <c r="B146" s="16" t="str">
        <f>IF(IFERROR(HLOOKUP(B$2,$M$2:$BL146,$J146,FALSE),"")="","",IFERROR(HLOOKUP(B$2,$M$2:$BL146,$J146,FALSE),""))</f>
        <v/>
      </c>
      <c r="C146" s="16" t="str">
        <f>IF(IFERROR(HLOOKUP(C$2,$M$2:$BL146,$J146,FALSE),"")="","",IFERROR(HLOOKUP(C$2,$M$2:$BL146,$J146,FALSE),""))</f>
        <v/>
      </c>
      <c r="D146" s="16" t="str">
        <f>IF(IFERROR(HLOOKUP(D$2,$M$2:$BL146,$J146,FALSE),"")="","",IFERROR(HLOOKUP(D$2,$M$2:$BL146,$J146,FALSE),""))</f>
        <v/>
      </c>
      <c r="E146" s="16" t="str">
        <f>IF(IFERROR(HLOOKUP(E$2,$M$2:$BL146,$J146,FALSE),"")="","",IFERROR(HLOOKUP(E$2,$M$2:$BL146,$J146,FALSE),""))</f>
        <v/>
      </c>
      <c r="F146" s="16" t="str">
        <f>IF(IFERROR(HLOOKUP(F$2,$M$2:$BL146,$J146,FALSE),"")="","",IFERROR(HLOOKUP(F$2,$M$2:$BL146,$J146,FALSE),""))</f>
        <v/>
      </c>
      <c r="G146" s="16" t="str">
        <f>IF(IFERROR(HLOOKUP(G$2,$M$2:$BL146,$J146,FALSE),"")="","",IFERROR(HLOOKUP(G$2,$M$2:$BL146,$J146,FALSE),""))</f>
        <v/>
      </c>
      <c r="J146" s="16">
        <f t="shared" si="17"/>
        <v>145</v>
      </c>
      <c r="P146" s="16" t="s">
        <v>763</v>
      </c>
      <c r="Q146" s="16" t="s">
        <v>764</v>
      </c>
      <c r="R146" s="16" t="s">
        <v>765</v>
      </c>
      <c r="S146" s="16" t="s">
        <v>766</v>
      </c>
      <c r="U146" s="16" t="s">
        <v>266</v>
      </c>
      <c r="V146" s="16" t="s">
        <v>767</v>
      </c>
      <c r="Y146" s="16" t="s">
        <v>482</v>
      </c>
    </row>
    <row r="147" spans="1:25">
      <c r="A147" s="16" t="str">
        <f t="shared" si="18"/>
        <v>BB</v>
      </c>
      <c r="B147" s="16" t="str">
        <f>IF(IFERROR(HLOOKUP(B$2,$M$2:$BL147,$J147,FALSE),"")="","",IFERROR(HLOOKUP(B$2,$M$2:$BL147,$J147,FALSE),""))</f>
        <v/>
      </c>
      <c r="C147" s="16" t="str">
        <f>IF(IFERROR(HLOOKUP(C$2,$M$2:$BL147,$J147,FALSE),"")="","",IFERROR(HLOOKUP(C$2,$M$2:$BL147,$J147,FALSE),""))</f>
        <v/>
      </c>
      <c r="D147" s="16" t="str">
        <f>IF(IFERROR(HLOOKUP(D$2,$M$2:$BL147,$J147,FALSE),"")="","",IFERROR(HLOOKUP(D$2,$M$2:$BL147,$J147,FALSE),""))</f>
        <v/>
      </c>
      <c r="E147" s="16" t="str">
        <f>IF(IFERROR(HLOOKUP(E$2,$M$2:$BL147,$J147,FALSE),"")="","",IFERROR(HLOOKUP(E$2,$M$2:$BL147,$J147,FALSE),""))</f>
        <v/>
      </c>
      <c r="F147" s="16" t="str">
        <f>IF(IFERROR(HLOOKUP(F$2,$M$2:$BL147,$J147,FALSE),"")="","",IFERROR(HLOOKUP(F$2,$M$2:$BL147,$J147,FALSE),""))</f>
        <v/>
      </c>
      <c r="G147" s="16" t="str">
        <f>IF(IFERROR(HLOOKUP(G$2,$M$2:$BL147,$J147,FALSE),"")="","",IFERROR(HLOOKUP(G$2,$M$2:$BL147,$J147,FALSE),""))</f>
        <v/>
      </c>
      <c r="J147" s="16">
        <f t="shared" si="17"/>
        <v>146</v>
      </c>
      <c r="P147" s="16" t="s">
        <v>768</v>
      </c>
      <c r="Q147" s="16" t="s">
        <v>769</v>
      </c>
      <c r="R147" s="16" t="s">
        <v>770</v>
      </c>
      <c r="S147" s="16" t="s">
        <v>771</v>
      </c>
      <c r="U147" s="16" t="s">
        <v>547</v>
      </c>
      <c r="V147" s="16" t="s">
        <v>772</v>
      </c>
      <c r="Y147" s="16" t="s">
        <v>224</v>
      </c>
    </row>
    <row r="148" spans="1:25">
      <c r="A148" s="16" t="str">
        <f t="shared" si="18"/>
        <v>B</v>
      </c>
      <c r="B148" s="16" t="str">
        <f>IF(IFERROR(HLOOKUP(B$2,$M$2:$BL148,$J148,FALSE),"")="","",IFERROR(HLOOKUP(B$2,$M$2:$BL148,$J148,FALSE),""))</f>
        <v/>
      </c>
      <c r="C148" s="16" t="str">
        <f>IF(IFERROR(HLOOKUP(C$2,$M$2:$BL148,$J148,FALSE),"")="","",IFERROR(HLOOKUP(C$2,$M$2:$BL148,$J148,FALSE),""))</f>
        <v/>
      </c>
      <c r="D148" s="16" t="str">
        <f>IF(IFERROR(HLOOKUP(D$2,$M$2:$BL148,$J148,FALSE),"")="","",IFERROR(HLOOKUP(D$2,$M$2:$BL148,$J148,FALSE),""))</f>
        <v/>
      </c>
      <c r="E148" s="16" t="str">
        <f>IF(IFERROR(HLOOKUP(E$2,$M$2:$BL148,$J148,FALSE),"")="","",IFERROR(HLOOKUP(E$2,$M$2:$BL148,$J148,FALSE),""))</f>
        <v/>
      </c>
      <c r="F148" s="16" t="str">
        <f>IF(IFERROR(HLOOKUP(F$2,$M$2:$BL148,$J148,FALSE),"")="","",IFERROR(HLOOKUP(F$2,$M$2:$BL148,$J148,FALSE),""))</f>
        <v/>
      </c>
      <c r="G148" s="16" t="str">
        <f>IF(IFERROR(HLOOKUP(G$2,$M$2:$BL148,$J148,FALSE),"")="","",IFERROR(HLOOKUP(G$2,$M$2:$BL148,$J148,FALSE),""))</f>
        <v/>
      </c>
      <c r="J148" s="16">
        <f t="shared" si="17"/>
        <v>147</v>
      </c>
      <c r="P148" s="16" t="s">
        <v>773</v>
      </c>
      <c r="Q148" s="16" t="s">
        <v>774</v>
      </c>
      <c r="R148" s="16" t="s">
        <v>775</v>
      </c>
      <c r="S148" s="16" t="s">
        <v>776</v>
      </c>
      <c r="U148" s="16" t="s">
        <v>552</v>
      </c>
      <c r="V148" s="16" t="s">
        <v>777</v>
      </c>
      <c r="Y148" s="16" t="s">
        <v>224</v>
      </c>
    </row>
    <row r="149" spans="1:25">
      <c r="A149" s="16" t="str">
        <f t="shared" si="18"/>
        <v>CCC and below</v>
      </c>
      <c r="B149" s="16" t="str">
        <f>IF(IFERROR(HLOOKUP(B$2,$M$2:$BL149,$J149,FALSE),"")="","",IFERROR(HLOOKUP(B$2,$M$2:$BL149,$J149,FALSE),""))</f>
        <v/>
      </c>
      <c r="C149" s="16" t="str">
        <f>IF(IFERROR(HLOOKUP(C$2,$M$2:$BL149,$J149,FALSE),"")="","",IFERROR(HLOOKUP(C$2,$M$2:$BL149,$J149,FALSE),""))</f>
        <v/>
      </c>
      <c r="D149" s="16" t="str">
        <f>IF(IFERROR(HLOOKUP(D$2,$M$2:$BL149,$J149,FALSE),"")="","",IFERROR(HLOOKUP(D$2,$M$2:$BL149,$J149,FALSE),""))</f>
        <v/>
      </c>
      <c r="E149" s="16" t="str">
        <f>IF(IFERROR(HLOOKUP(E$2,$M$2:$BL149,$J149,FALSE),"")="","",IFERROR(HLOOKUP(E$2,$M$2:$BL149,$J149,FALSE),""))</f>
        <v/>
      </c>
      <c r="F149" s="16" t="str">
        <f>IF(IFERROR(HLOOKUP(F$2,$M$2:$BL149,$J149,FALSE),"")="","",IFERROR(HLOOKUP(F$2,$M$2:$BL149,$J149,FALSE),""))</f>
        <v/>
      </c>
      <c r="G149" s="16" t="str">
        <f>IF(IFERROR(HLOOKUP(G$2,$M$2:$BL149,$J149,FALSE),"")="","",IFERROR(HLOOKUP(G$2,$M$2:$BL149,$J149,FALSE),""))</f>
        <v/>
      </c>
      <c r="J149" s="16">
        <f t="shared" si="17"/>
        <v>148</v>
      </c>
      <c r="P149" s="16" t="s">
        <v>778</v>
      </c>
      <c r="Q149" s="16" t="s">
        <v>779</v>
      </c>
      <c r="R149" s="16" t="s">
        <v>780</v>
      </c>
      <c r="S149" s="16" t="s">
        <v>781</v>
      </c>
      <c r="U149" s="16" t="s">
        <v>103</v>
      </c>
      <c r="V149" s="16" t="s">
        <v>782</v>
      </c>
      <c r="Y149" s="16" t="s">
        <v>103</v>
      </c>
    </row>
    <row r="150" spans="1:25" s="19" customFormat="1">
      <c r="A150" s="22" t="str">
        <f t="shared" si="18"/>
        <v>Factor 2</v>
      </c>
      <c r="B150" s="19" t="str">
        <f>IF(IFERROR(HLOOKUP(B$2,$M$2:$BL150,$J150,FALSE),"")="","",IFERROR(HLOOKUP(B$2,$M$2:$BL150,$J150,FALSE),""))</f>
        <v/>
      </c>
      <c r="C150" s="22" t="str">
        <f>IF(IFERROR(HLOOKUP(C$2,$M$2:$BL150,$J150,FALSE),"")="","",IFERROR(HLOOKUP(C$2,$M$2:$BL150,$J150,FALSE),""))</f>
        <v/>
      </c>
      <c r="D150" s="22" t="str">
        <f>IF(IFERROR(HLOOKUP(D$2,$M$2:$BL150,$J150,FALSE),"")="","",IFERROR(HLOOKUP(D$2,$M$2:$BL150,$J150,FALSE),""))</f>
        <v/>
      </c>
      <c r="E150" s="22" t="str">
        <f>IF(IFERROR(HLOOKUP(E$2,$M$2:$BL150,$J150,FALSE),"")="","",IFERROR(HLOOKUP(E$2,$M$2:$BL150,$J150,FALSE),""))</f>
        <v/>
      </c>
      <c r="F150" s="22" t="str">
        <f>IF(IFERROR(HLOOKUP(F$2,$M$2:$BL150,$J150,FALSE),"")="","",IFERROR(HLOOKUP(F$2,$M$2:$BL150,$J150,FALSE),""))</f>
        <v/>
      </c>
      <c r="G150" s="22" t="str">
        <f>IF(IFERROR(HLOOKUP(G$2,$M$2:$BL150,$J150,FALSE),"")="","",IFERROR(HLOOKUP(G$2,$M$2:$BL150,$J150,FALSE),""))</f>
        <v/>
      </c>
      <c r="H150" s="22"/>
      <c r="J150" s="19">
        <f t="shared" si="17"/>
        <v>149</v>
      </c>
      <c r="P150" s="19" t="s">
        <v>783</v>
      </c>
      <c r="R150" s="19" t="s">
        <v>784</v>
      </c>
      <c r="S150" s="19" t="s">
        <v>785</v>
      </c>
      <c r="U150" s="19" t="s">
        <v>786</v>
      </c>
      <c r="V150" s="19" t="s">
        <v>787</v>
      </c>
      <c r="Y150" s="19" t="s">
        <v>788</v>
      </c>
    </row>
    <row r="151" spans="1:25">
      <c r="A151" s="16" t="str">
        <f t="shared" si="18"/>
        <v>AA and above</v>
      </c>
      <c r="B151" s="16" t="str">
        <f>IF(IFERROR(HLOOKUP(B$2,$M$2:$BL151,$J151,FALSE),"")="","",IFERROR(HLOOKUP(B$2,$M$2:$BL151,$J151,FALSE),""))</f>
        <v/>
      </c>
      <c r="C151" s="16" t="str">
        <f>IF(IFERROR(HLOOKUP(C$2,$M$2:$BL151,$J151,FALSE),"")="","",IFERROR(HLOOKUP(C$2,$M$2:$BL151,$J151,FALSE),""))</f>
        <v/>
      </c>
      <c r="D151" s="16" t="str">
        <f>IF(IFERROR(HLOOKUP(D$2,$M$2:$BL151,$J151,FALSE),"")="","",IFERROR(HLOOKUP(D$2,$M$2:$BL151,$J151,FALSE),""))</f>
        <v/>
      </c>
      <c r="E151" s="16" t="str">
        <f>IF(IFERROR(HLOOKUP(E$2,$M$2:$BL151,$J151,FALSE),"")="","",IFERROR(HLOOKUP(E$2,$M$2:$BL151,$J151,FALSE),""))</f>
        <v/>
      </c>
      <c r="F151" s="16" t="str">
        <f>IF(IFERROR(HLOOKUP(F$2,$M$2:$BL151,$J151,FALSE),"")="","",IFERROR(HLOOKUP(F$2,$M$2:$BL151,$J151,FALSE),""))</f>
        <v/>
      </c>
      <c r="G151" s="16" t="str">
        <f>IF(IFERROR(HLOOKUP(G$2,$M$2:$BL151,$J151,FALSE),"")="","",IFERROR(HLOOKUP(G$2,$M$2:$BL151,$J151,FALSE),""))</f>
        <v/>
      </c>
      <c r="J151" s="16">
        <f t="shared" si="17"/>
        <v>150</v>
      </c>
      <c r="P151" s="16" t="s">
        <v>789</v>
      </c>
      <c r="R151" s="16" t="s">
        <v>790</v>
      </c>
      <c r="S151" s="16" t="s">
        <v>231</v>
      </c>
      <c r="U151" s="16" t="s">
        <v>791</v>
      </c>
      <c r="V151" s="16" t="s">
        <v>103</v>
      </c>
      <c r="Y151" s="16" t="s">
        <v>792</v>
      </c>
    </row>
    <row r="152" spans="1:25">
      <c r="A152" s="16" t="str">
        <f t="shared" si="18"/>
        <v>A</v>
      </c>
      <c r="B152" s="16" t="str">
        <f>IF(IFERROR(HLOOKUP(B$2,$M$2:$BL152,$J152,FALSE),"")="","",IFERROR(HLOOKUP(B$2,$M$2:$BL152,$J152,FALSE),""))</f>
        <v/>
      </c>
      <c r="C152" s="16" t="str">
        <f>IF(IFERROR(HLOOKUP(C$2,$M$2:$BL152,$J152,FALSE),"")="","",IFERROR(HLOOKUP(C$2,$M$2:$BL152,$J152,FALSE),""))</f>
        <v/>
      </c>
      <c r="D152" s="16" t="str">
        <f>IF(IFERROR(HLOOKUP(D$2,$M$2:$BL152,$J152,FALSE),"")="","",IFERROR(HLOOKUP(D$2,$M$2:$BL152,$J152,FALSE),""))</f>
        <v/>
      </c>
      <c r="E152" s="16" t="str">
        <f>IF(IFERROR(HLOOKUP(E$2,$M$2:$BL152,$J152,FALSE),"")="","",IFERROR(HLOOKUP(E$2,$M$2:$BL152,$J152,FALSE),""))</f>
        <v/>
      </c>
      <c r="F152" s="16" t="str">
        <f>IF(IFERROR(HLOOKUP(F$2,$M$2:$BL152,$J152,FALSE),"")="","",IFERROR(HLOOKUP(F$2,$M$2:$BL152,$J152,FALSE),""))</f>
        <v/>
      </c>
      <c r="G152" s="16" t="str">
        <f>IF(IFERROR(HLOOKUP(G$2,$M$2:$BL152,$J152,FALSE),"")="","",IFERROR(HLOOKUP(G$2,$M$2:$BL152,$J152,FALSE),""))</f>
        <v/>
      </c>
      <c r="J152" s="16">
        <f t="shared" si="17"/>
        <v>151</v>
      </c>
      <c r="P152" s="16" t="s">
        <v>793</v>
      </c>
      <c r="R152" s="16" t="s">
        <v>790</v>
      </c>
      <c r="S152" s="16" t="s">
        <v>794</v>
      </c>
      <c r="U152" s="16" t="s">
        <v>791</v>
      </c>
      <c r="V152" s="16" t="s">
        <v>795</v>
      </c>
      <c r="Y152" s="16" t="s">
        <v>796</v>
      </c>
    </row>
    <row r="153" spans="1:25">
      <c r="A153" s="16" t="str">
        <f t="shared" si="18"/>
        <v>BBB</v>
      </c>
      <c r="B153" s="16" t="str">
        <f>IF(IFERROR(HLOOKUP(B$2,$M$2:$BL153,$J153,FALSE),"")="","",IFERROR(HLOOKUP(B$2,$M$2:$BL153,$J153,FALSE),""))</f>
        <v/>
      </c>
      <c r="C153" s="16" t="str">
        <f>IF(IFERROR(HLOOKUP(C$2,$M$2:$BL153,$J153,FALSE),"")="","",IFERROR(HLOOKUP(C$2,$M$2:$BL153,$J153,FALSE),""))</f>
        <v/>
      </c>
      <c r="D153" s="16" t="str">
        <f>IF(IFERROR(HLOOKUP(D$2,$M$2:$BL153,$J153,FALSE),"")="","",IFERROR(HLOOKUP(D$2,$M$2:$BL153,$J153,FALSE),""))</f>
        <v/>
      </c>
      <c r="E153" s="16" t="str">
        <f>IF(IFERROR(HLOOKUP(E$2,$M$2:$BL153,$J153,FALSE),"")="","",IFERROR(HLOOKUP(E$2,$M$2:$BL153,$J153,FALSE),""))</f>
        <v/>
      </c>
      <c r="F153" s="16" t="str">
        <f>IF(IFERROR(HLOOKUP(F$2,$M$2:$BL153,$J153,FALSE),"")="","",IFERROR(HLOOKUP(F$2,$M$2:$BL153,$J153,FALSE),""))</f>
        <v/>
      </c>
      <c r="G153" s="16" t="str">
        <f>IF(IFERROR(HLOOKUP(G$2,$M$2:$BL153,$J153,FALSE),"")="","",IFERROR(HLOOKUP(G$2,$M$2:$BL153,$J153,FALSE),""))</f>
        <v/>
      </c>
      <c r="J153" s="16">
        <f t="shared" si="17"/>
        <v>152</v>
      </c>
      <c r="P153" s="16" t="s">
        <v>797</v>
      </c>
      <c r="R153" s="16" t="s">
        <v>798</v>
      </c>
      <c r="S153" s="16" t="s">
        <v>221</v>
      </c>
      <c r="U153" s="16" t="s">
        <v>799</v>
      </c>
      <c r="V153" s="16" t="s">
        <v>800</v>
      </c>
      <c r="Y153" s="16" t="s">
        <v>801</v>
      </c>
    </row>
    <row r="154" spans="1:25">
      <c r="A154" s="16" t="str">
        <f t="shared" si="18"/>
        <v>BB</v>
      </c>
      <c r="B154" s="16" t="str">
        <f>IF(IFERROR(HLOOKUP(B$2,$M$2:$BL154,$J154,FALSE),"")="","",IFERROR(HLOOKUP(B$2,$M$2:$BL154,$J154,FALSE),""))</f>
        <v/>
      </c>
      <c r="C154" s="16" t="str">
        <f>IF(IFERROR(HLOOKUP(C$2,$M$2:$BL154,$J154,FALSE),"")="","",IFERROR(HLOOKUP(C$2,$M$2:$BL154,$J154,FALSE),""))</f>
        <v/>
      </c>
      <c r="D154" s="16" t="str">
        <f>IF(IFERROR(HLOOKUP(D$2,$M$2:$BL154,$J154,FALSE),"")="","",IFERROR(HLOOKUP(D$2,$M$2:$BL154,$J154,FALSE),""))</f>
        <v/>
      </c>
      <c r="E154" s="16" t="str">
        <f>IF(IFERROR(HLOOKUP(E$2,$M$2:$BL154,$J154,FALSE),"")="","",IFERROR(HLOOKUP(E$2,$M$2:$BL154,$J154,FALSE),""))</f>
        <v/>
      </c>
      <c r="F154" s="16" t="str">
        <f>IF(IFERROR(HLOOKUP(F$2,$M$2:$BL154,$J154,FALSE),"")="","",IFERROR(HLOOKUP(F$2,$M$2:$BL154,$J154,FALSE),""))</f>
        <v/>
      </c>
      <c r="G154" s="16" t="str">
        <f>IF(IFERROR(HLOOKUP(G$2,$M$2:$BL154,$J154,FALSE),"")="","",IFERROR(HLOOKUP(G$2,$M$2:$BL154,$J154,FALSE),""))</f>
        <v/>
      </c>
      <c r="J154" s="16">
        <f t="shared" si="17"/>
        <v>153</v>
      </c>
      <c r="P154" s="16" t="s">
        <v>802</v>
      </c>
      <c r="R154" s="16" t="s">
        <v>803</v>
      </c>
      <c r="S154" s="16" t="s">
        <v>804</v>
      </c>
      <c r="U154" s="16" t="s">
        <v>805</v>
      </c>
      <c r="V154" s="16" t="s">
        <v>806</v>
      </c>
      <c r="Y154" s="16" t="s">
        <v>807</v>
      </c>
    </row>
    <row r="155" spans="1:25">
      <c r="A155" s="16" t="str">
        <f t="shared" si="18"/>
        <v>B</v>
      </c>
      <c r="B155" s="16" t="str">
        <f>IF(IFERROR(HLOOKUP(B$2,$M$2:$BL155,$J155,FALSE),"")="","",IFERROR(HLOOKUP(B$2,$M$2:$BL155,$J155,FALSE),""))</f>
        <v/>
      </c>
      <c r="C155" s="16" t="str">
        <f>IF(IFERROR(HLOOKUP(C$2,$M$2:$BL155,$J155,FALSE),"")="","",IFERROR(HLOOKUP(C$2,$M$2:$BL155,$J155,FALSE),""))</f>
        <v/>
      </c>
      <c r="D155" s="16" t="str">
        <f>IF(IFERROR(HLOOKUP(D$2,$M$2:$BL155,$J155,FALSE),"")="","",IFERROR(HLOOKUP(D$2,$M$2:$BL155,$J155,FALSE),""))</f>
        <v/>
      </c>
      <c r="E155" s="16" t="str">
        <f>IF(IFERROR(HLOOKUP(E$2,$M$2:$BL155,$J155,FALSE),"")="","",IFERROR(HLOOKUP(E$2,$M$2:$BL155,$J155,FALSE),""))</f>
        <v/>
      </c>
      <c r="F155" s="16" t="str">
        <f>IF(IFERROR(HLOOKUP(F$2,$M$2:$BL155,$J155,FALSE),"")="","",IFERROR(HLOOKUP(F$2,$M$2:$BL155,$J155,FALSE),""))</f>
        <v/>
      </c>
      <c r="G155" s="16" t="str">
        <f>IF(IFERROR(HLOOKUP(G$2,$M$2:$BL155,$J155,FALSE),"")="","",IFERROR(HLOOKUP(G$2,$M$2:$BL155,$J155,FALSE),""))</f>
        <v/>
      </c>
      <c r="J155" s="16">
        <f t="shared" si="17"/>
        <v>154</v>
      </c>
      <c r="P155" s="16" t="s">
        <v>808</v>
      </c>
      <c r="R155" s="16" t="s">
        <v>809</v>
      </c>
      <c r="S155" s="16" t="s">
        <v>674</v>
      </c>
      <c r="U155" s="16" t="s">
        <v>810</v>
      </c>
      <c r="V155" s="16" t="s">
        <v>811</v>
      </c>
      <c r="Y155" s="16" t="s">
        <v>812</v>
      </c>
    </row>
    <row r="156" spans="1:25">
      <c r="A156" s="16" t="str">
        <f t="shared" si="18"/>
        <v>CCC and below</v>
      </c>
      <c r="B156" s="16" t="str">
        <f>IF(IFERROR(HLOOKUP(B$2,$M$2:$BL156,$J156,FALSE),"")="","",IFERROR(HLOOKUP(B$2,$M$2:$BL156,$J156,FALSE),""))</f>
        <v/>
      </c>
      <c r="C156" s="16" t="str">
        <f>IF(IFERROR(HLOOKUP(C$2,$M$2:$BL156,$J156,FALSE),"")="","",IFERROR(HLOOKUP(C$2,$M$2:$BL156,$J156,FALSE),""))</f>
        <v/>
      </c>
      <c r="D156" s="16" t="str">
        <f>IF(IFERROR(HLOOKUP(D$2,$M$2:$BL156,$J156,FALSE),"")="","",IFERROR(HLOOKUP(D$2,$M$2:$BL156,$J156,FALSE),""))</f>
        <v/>
      </c>
      <c r="E156" s="16" t="str">
        <f>IF(IFERROR(HLOOKUP(E$2,$M$2:$BL156,$J156,FALSE),"")="","",IFERROR(HLOOKUP(E$2,$M$2:$BL156,$J156,FALSE),""))</f>
        <v/>
      </c>
      <c r="F156" s="16" t="str">
        <f>IF(IFERROR(HLOOKUP(F$2,$M$2:$BL156,$J156,FALSE),"")="","",IFERROR(HLOOKUP(F$2,$M$2:$BL156,$J156,FALSE),""))</f>
        <v/>
      </c>
      <c r="G156" s="16" t="str">
        <f>IF(IFERROR(HLOOKUP(G$2,$M$2:$BL156,$J156,FALSE),"")="","",IFERROR(HLOOKUP(G$2,$M$2:$BL156,$J156,FALSE),""))</f>
        <v/>
      </c>
      <c r="J156" s="16">
        <f t="shared" si="17"/>
        <v>155</v>
      </c>
      <c r="P156" s="16" t="s">
        <v>808</v>
      </c>
      <c r="R156" s="16" t="s">
        <v>809</v>
      </c>
      <c r="S156" s="16" t="s">
        <v>813</v>
      </c>
      <c r="U156" s="16" t="s">
        <v>103</v>
      </c>
      <c r="V156" s="16" t="s">
        <v>814</v>
      </c>
      <c r="Y156" s="16" t="s">
        <v>103</v>
      </c>
    </row>
    <row r="157" spans="1:25" s="19" customFormat="1">
      <c r="A157" s="22" t="str">
        <f t="shared" si="18"/>
        <v>Factor 3</v>
      </c>
      <c r="B157" s="19" t="str">
        <f>IF(IFERROR(HLOOKUP(B$2,$M$2:$BL157,$J157,FALSE),"")="","",IFERROR(HLOOKUP(B$2,$M$2:$BL157,$J157,FALSE),""))</f>
        <v/>
      </c>
      <c r="C157" s="22" t="str">
        <f>IF(IFERROR(HLOOKUP(C$2,$M$2:$BL157,$J157,FALSE),"")="","",IFERROR(HLOOKUP(C$2,$M$2:$BL157,$J157,FALSE),""))</f>
        <v/>
      </c>
      <c r="D157" s="22" t="str">
        <f>IF(IFERROR(HLOOKUP(D$2,$M$2:$BL157,$J157,FALSE),"")="","",IFERROR(HLOOKUP(D$2,$M$2:$BL157,$J157,FALSE),""))</f>
        <v/>
      </c>
      <c r="E157" s="22" t="str">
        <f>IF(IFERROR(HLOOKUP(E$2,$M$2:$BL157,$J157,FALSE),"")="","",IFERROR(HLOOKUP(E$2,$M$2:$BL157,$J157,FALSE),""))</f>
        <v/>
      </c>
      <c r="F157" s="22" t="str">
        <f>IF(IFERROR(HLOOKUP(F$2,$M$2:$BL157,$J157,FALSE),"")="","",IFERROR(HLOOKUP(F$2,$M$2:$BL157,$J157,FALSE),""))</f>
        <v/>
      </c>
      <c r="G157" s="22" t="str">
        <f>IF(IFERROR(HLOOKUP(G$2,$M$2:$BL157,$J157,FALSE),"")="","",IFERROR(HLOOKUP(G$2,$M$2:$BL157,$J157,FALSE),""))</f>
        <v/>
      </c>
      <c r="H157" s="22"/>
      <c r="J157" s="19">
        <f t="shared" si="17"/>
        <v>156</v>
      </c>
      <c r="P157" s="19" t="s">
        <v>815</v>
      </c>
      <c r="R157" s="19" t="s">
        <v>816</v>
      </c>
      <c r="S157" s="19" t="s">
        <v>817</v>
      </c>
      <c r="U157" s="19" t="s">
        <v>818</v>
      </c>
      <c r="V157" s="19" t="s">
        <v>819</v>
      </c>
      <c r="Y157" s="19" t="s">
        <v>820</v>
      </c>
    </row>
    <row r="158" spans="1:25" ht="10.5" customHeight="1">
      <c r="A158" s="16" t="str">
        <f t="shared" si="18"/>
        <v>AA and above</v>
      </c>
      <c r="B158" s="16" t="str">
        <f>IF(IFERROR(HLOOKUP(B$2,$M$2:$BL158,$J158,FALSE),"")="","",IFERROR(HLOOKUP(B$2,$M$2:$BL158,$J158,FALSE),""))</f>
        <v/>
      </c>
      <c r="C158" s="16" t="str">
        <f>IF(IFERROR(HLOOKUP(C$2,$M$2:$BL158,$J158,FALSE),"")="","",IFERROR(HLOOKUP(C$2,$M$2:$BL158,$J158,FALSE),""))</f>
        <v/>
      </c>
      <c r="D158" s="16" t="str">
        <f>IF(IFERROR(HLOOKUP(D$2,$M$2:$BL158,$J158,FALSE),"")="","",IFERROR(HLOOKUP(D$2,$M$2:$BL158,$J158,FALSE),""))</f>
        <v/>
      </c>
      <c r="E158" s="16" t="str">
        <f>IF(IFERROR(HLOOKUP(E$2,$M$2:$BL158,$J158,FALSE),"")="","",IFERROR(HLOOKUP(E$2,$M$2:$BL158,$J158,FALSE),""))</f>
        <v/>
      </c>
      <c r="F158" s="16" t="str">
        <f>IF(IFERROR(HLOOKUP(F$2,$M$2:$BL158,$J158,FALSE),"")="","",IFERROR(HLOOKUP(F$2,$M$2:$BL158,$J158,FALSE),""))</f>
        <v/>
      </c>
      <c r="G158" s="16" t="str">
        <f>IF(IFERROR(HLOOKUP(G$2,$M$2:$BL158,$J158,FALSE),"")="","",IFERROR(HLOOKUP(G$2,$M$2:$BL158,$J158,FALSE),""))</f>
        <v/>
      </c>
      <c r="J158" s="16">
        <f t="shared" si="17"/>
        <v>157</v>
      </c>
      <c r="P158" s="16" t="s">
        <v>821</v>
      </c>
      <c r="R158" s="16" t="s">
        <v>822</v>
      </c>
      <c r="S158" s="16" t="s">
        <v>823</v>
      </c>
      <c r="U158" s="16" t="s">
        <v>224</v>
      </c>
      <c r="V158" s="16" t="s">
        <v>103</v>
      </c>
      <c r="Y158" s="16" t="s">
        <v>647</v>
      </c>
    </row>
    <row r="159" spans="1:25" ht="10.5" customHeight="1">
      <c r="A159" s="16" t="str">
        <f t="shared" si="18"/>
        <v>A</v>
      </c>
      <c r="B159" s="16" t="str">
        <f>IF(IFERROR(HLOOKUP(B$2,$M$2:$BL159,$J159,FALSE),"")="","",IFERROR(HLOOKUP(B$2,$M$2:$BL159,$J159,FALSE),""))</f>
        <v/>
      </c>
      <c r="C159" s="16" t="str">
        <f>IF(IFERROR(HLOOKUP(C$2,$M$2:$BL159,$J159,FALSE),"")="","",IFERROR(HLOOKUP(C$2,$M$2:$BL159,$J159,FALSE),""))</f>
        <v/>
      </c>
      <c r="D159" s="16" t="str">
        <f>IF(IFERROR(HLOOKUP(D$2,$M$2:$BL159,$J159,FALSE),"")="","",IFERROR(HLOOKUP(D$2,$M$2:$BL159,$J159,FALSE),""))</f>
        <v/>
      </c>
      <c r="E159" s="16" t="str">
        <f>IF(IFERROR(HLOOKUP(E$2,$M$2:$BL159,$J159,FALSE),"")="","",IFERROR(HLOOKUP(E$2,$M$2:$BL159,$J159,FALSE),""))</f>
        <v/>
      </c>
      <c r="F159" s="16" t="str">
        <f>IF(IFERROR(HLOOKUP(F$2,$M$2:$BL159,$J159,FALSE),"")="","",IFERROR(HLOOKUP(F$2,$M$2:$BL159,$J159,FALSE),""))</f>
        <v/>
      </c>
      <c r="G159" s="16" t="str">
        <f>IF(IFERROR(HLOOKUP(G$2,$M$2:$BL159,$J159,FALSE),"")="","",IFERROR(HLOOKUP(G$2,$M$2:$BL159,$J159,FALSE),""))</f>
        <v/>
      </c>
      <c r="J159" s="16">
        <f t="shared" si="17"/>
        <v>158</v>
      </c>
      <c r="P159" s="16" t="s">
        <v>821</v>
      </c>
      <c r="R159" s="16" t="s">
        <v>822</v>
      </c>
      <c r="S159" s="16" t="s">
        <v>823</v>
      </c>
      <c r="U159" s="16" t="s">
        <v>202</v>
      </c>
      <c r="V159" s="26" t="s">
        <v>824</v>
      </c>
      <c r="Y159" s="16" t="s">
        <v>490</v>
      </c>
    </row>
    <row r="160" spans="1:25" ht="10.5" customHeight="1">
      <c r="A160" s="16" t="str">
        <f t="shared" si="18"/>
        <v>BBB</v>
      </c>
      <c r="B160" s="16" t="str">
        <f>IF(IFERROR(HLOOKUP(B$2,$M$2:$BL160,$J160,FALSE),"")="","",IFERROR(HLOOKUP(B$2,$M$2:$BL160,$J160,FALSE),""))</f>
        <v/>
      </c>
      <c r="C160" s="16" t="str">
        <f>IF(IFERROR(HLOOKUP(C$2,$M$2:$BL160,$J160,FALSE),"")="","",IFERROR(HLOOKUP(C$2,$M$2:$BL160,$J160,FALSE),""))</f>
        <v/>
      </c>
      <c r="D160" s="16" t="str">
        <f>IF(IFERROR(HLOOKUP(D$2,$M$2:$BL160,$J160,FALSE),"")="","",IFERROR(HLOOKUP(D$2,$M$2:$BL160,$J160,FALSE),""))</f>
        <v/>
      </c>
      <c r="E160" s="16" t="str">
        <f>IF(IFERROR(HLOOKUP(E$2,$M$2:$BL160,$J160,FALSE),"")="","",IFERROR(HLOOKUP(E$2,$M$2:$BL160,$J160,FALSE),""))</f>
        <v/>
      </c>
      <c r="F160" s="16" t="str">
        <f>IF(IFERROR(HLOOKUP(F$2,$M$2:$BL160,$J160,FALSE),"")="","",IFERROR(HLOOKUP(F$2,$M$2:$BL160,$J160,FALSE),""))</f>
        <v/>
      </c>
      <c r="G160" s="16" t="str">
        <f>IF(IFERROR(HLOOKUP(G$2,$M$2:$BL160,$J160,FALSE),"")="","",IFERROR(HLOOKUP(G$2,$M$2:$BL160,$J160,FALSE),""))</f>
        <v/>
      </c>
      <c r="J160" s="16">
        <f t="shared" si="17"/>
        <v>159</v>
      </c>
      <c r="P160" s="16" t="s">
        <v>825</v>
      </c>
      <c r="R160" s="16" t="s">
        <v>826</v>
      </c>
      <c r="S160" s="16" t="s">
        <v>827</v>
      </c>
      <c r="U160" s="16" t="s">
        <v>419</v>
      </c>
      <c r="V160" s="26" t="s">
        <v>824</v>
      </c>
      <c r="Y160" s="16" t="s">
        <v>482</v>
      </c>
    </row>
    <row r="161" spans="1:25">
      <c r="A161" s="16" t="str">
        <f t="shared" si="18"/>
        <v>BB</v>
      </c>
      <c r="B161" s="16" t="str">
        <f>IF(IFERROR(HLOOKUP(B$2,$M$2:$BL161,$J161,FALSE),"")="","",IFERROR(HLOOKUP(B$2,$M$2:$BL161,$J161,FALSE),""))</f>
        <v/>
      </c>
      <c r="C161" s="16" t="str">
        <f>IF(IFERROR(HLOOKUP(C$2,$M$2:$BL161,$J161,FALSE),"")="","",IFERROR(HLOOKUP(C$2,$M$2:$BL161,$J161,FALSE),""))</f>
        <v/>
      </c>
      <c r="D161" s="16" t="str">
        <f>IF(IFERROR(HLOOKUP(D$2,$M$2:$BL161,$J161,FALSE),"")="","",IFERROR(HLOOKUP(D$2,$M$2:$BL161,$J161,FALSE),""))</f>
        <v/>
      </c>
      <c r="E161" s="16" t="str">
        <f>IF(IFERROR(HLOOKUP(E$2,$M$2:$BL161,$J161,FALSE),"")="","",IFERROR(HLOOKUP(E$2,$M$2:$BL161,$J161,FALSE),""))</f>
        <v/>
      </c>
      <c r="F161" s="16" t="str">
        <f>IF(IFERROR(HLOOKUP(F$2,$M$2:$BL161,$J161,FALSE),"")="","",IFERROR(HLOOKUP(F$2,$M$2:$BL161,$J161,FALSE),""))</f>
        <v/>
      </c>
      <c r="G161" s="16" t="str">
        <f>IF(IFERROR(HLOOKUP(G$2,$M$2:$BL161,$J161,FALSE),"")="","",IFERROR(HLOOKUP(G$2,$M$2:$BL161,$J161,FALSE),""))</f>
        <v/>
      </c>
      <c r="J161" s="16">
        <f t="shared" si="17"/>
        <v>160</v>
      </c>
      <c r="P161" s="16" t="s">
        <v>828</v>
      </c>
      <c r="R161" s="16" t="s">
        <v>829</v>
      </c>
      <c r="S161" s="16" t="s">
        <v>830</v>
      </c>
      <c r="U161" s="16" t="s">
        <v>429</v>
      </c>
      <c r="V161" s="16" t="s">
        <v>831</v>
      </c>
      <c r="Y161" s="16" t="s">
        <v>621</v>
      </c>
    </row>
    <row r="162" spans="1:25">
      <c r="A162" s="16" t="str">
        <f t="shared" si="18"/>
        <v>B</v>
      </c>
      <c r="B162" s="16" t="str">
        <f>IF(IFERROR(HLOOKUP(B$2,$M$2:$BL162,$J162,FALSE),"")="","",IFERROR(HLOOKUP(B$2,$M$2:$BL162,$J162,FALSE),""))</f>
        <v/>
      </c>
      <c r="C162" s="16" t="str">
        <f>IF(IFERROR(HLOOKUP(C$2,$M$2:$BL162,$J162,FALSE),"")="","",IFERROR(HLOOKUP(C$2,$M$2:$BL162,$J162,FALSE),""))</f>
        <v/>
      </c>
      <c r="D162" s="16" t="str">
        <f>IF(IFERROR(HLOOKUP(D$2,$M$2:$BL162,$J162,FALSE),"")="","",IFERROR(HLOOKUP(D$2,$M$2:$BL162,$J162,FALSE),""))</f>
        <v/>
      </c>
      <c r="E162" s="16" t="str">
        <f>IF(IFERROR(HLOOKUP(E$2,$M$2:$BL162,$J162,FALSE),"")="","",IFERROR(HLOOKUP(E$2,$M$2:$BL162,$J162,FALSE),""))</f>
        <v/>
      </c>
      <c r="F162" s="16" t="str">
        <f>IF(IFERROR(HLOOKUP(F$2,$M$2:$BL162,$J162,FALSE),"")="","",IFERROR(HLOOKUP(F$2,$M$2:$BL162,$J162,FALSE),""))</f>
        <v/>
      </c>
      <c r="G162" s="16" t="str">
        <f>IF(IFERROR(HLOOKUP(G$2,$M$2:$BL162,$J162,FALSE),"")="","",IFERROR(HLOOKUP(G$2,$M$2:$BL162,$J162,FALSE),""))</f>
        <v/>
      </c>
      <c r="J162" s="16">
        <f t="shared" si="17"/>
        <v>161</v>
      </c>
      <c r="P162" s="16" t="s">
        <v>832</v>
      </c>
      <c r="R162" s="16" t="s">
        <v>833</v>
      </c>
      <c r="S162" s="16" t="s">
        <v>834</v>
      </c>
      <c r="U162" s="16" t="s">
        <v>835</v>
      </c>
      <c r="V162" s="16" t="s">
        <v>831</v>
      </c>
      <c r="Y162" s="16" t="s">
        <v>192</v>
      </c>
    </row>
    <row r="163" spans="1:25">
      <c r="A163" s="16" t="str">
        <f t="shared" si="18"/>
        <v>CCC and below</v>
      </c>
      <c r="B163" s="16" t="str">
        <f>IF(IFERROR(HLOOKUP(B$2,$M$2:$BL163,$J163,FALSE),"")="","",IFERROR(HLOOKUP(B$2,$M$2:$BL163,$J163,FALSE),""))</f>
        <v/>
      </c>
      <c r="C163" s="16" t="str">
        <f>IF(IFERROR(HLOOKUP(C$2,$M$2:$BL163,$J163,FALSE),"")="","",IFERROR(HLOOKUP(C$2,$M$2:$BL163,$J163,FALSE),""))</f>
        <v/>
      </c>
      <c r="D163" s="16" t="str">
        <f>IF(IFERROR(HLOOKUP(D$2,$M$2:$BL163,$J163,FALSE),"")="","",IFERROR(HLOOKUP(D$2,$M$2:$BL163,$J163,FALSE),""))</f>
        <v/>
      </c>
      <c r="E163" s="16" t="str">
        <f>IF(IFERROR(HLOOKUP(E$2,$M$2:$BL163,$J163,FALSE),"")="","",IFERROR(HLOOKUP(E$2,$M$2:$BL163,$J163,FALSE),""))</f>
        <v/>
      </c>
      <c r="F163" s="16" t="str">
        <f>IF(IFERROR(HLOOKUP(F$2,$M$2:$BL163,$J163,FALSE),"")="","",IFERROR(HLOOKUP(F$2,$M$2:$BL163,$J163,FALSE),""))</f>
        <v/>
      </c>
      <c r="G163" s="16" t="str">
        <f>IF(IFERROR(HLOOKUP(G$2,$M$2:$BL163,$J163,FALSE),"")="","",IFERROR(HLOOKUP(G$2,$M$2:$BL163,$J163,FALSE),""))</f>
        <v/>
      </c>
      <c r="J163" s="16">
        <f t="shared" si="17"/>
        <v>162</v>
      </c>
      <c r="P163" s="16" t="s">
        <v>836</v>
      </c>
      <c r="R163" s="16" t="s">
        <v>837</v>
      </c>
      <c r="S163" s="16" t="s">
        <v>838</v>
      </c>
      <c r="U163" s="16" t="s">
        <v>103</v>
      </c>
      <c r="V163" s="16" t="s">
        <v>839</v>
      </c>
      <c r="Y163" s="16" t="s">
        <v>103</v>
      </c>
    </row>
    <row r="164" spans="1:25" s="19" customFormat="1">
      <c r="A164" s="22" t="str">
        <f t="shared" si="18"/>
        <v>Factor 4</v>
      </c>
      <c r="B164" s="19" t="str">
        <f>IF(IFERROR(HLOOKUP(B$2,$M$2:$BL164,$J164,FALSE),"")="","",IFERROR(HLOOKUP(B$2,$M$2:$BL164,$J164,FALSE),""))</f>
        <v/>
      </c>
      <c r="C164" s="22" t="str">
        <f>IF(IFERROR(HLOOKUP(C$2,$M$2:$BL164,$J164,FALSE),"")="","",IFERROR(HLOOKUP(C$2,$M$2:$BL164,$J164,FALSE),""))</f>
        <v/>
      </c>
      <c r="D164" s="22" t="str">
        <f>IF(IFERROR(HLOOKUP(D$2,$M$2:$BL164,$J164,FALSE),"")="","",IFERROR(HLOOKUP(D$2,$M$2:$BL164,$J164,FALSE),""))</f>
        <v/>
      </c>
      <c r="E164" s="22" t="str">
        <f>IF(IFERROR(HLOOKUP(E$2,$M$2:$BL164,$J164,FALSE),"")="","",IFERROR(HLOOKUP(E$2,$M$2:$BL164,$J164,FALSE),""))</f>
        <v/>
      </c>
      <c r="F164" s="22" t="str">
        <f>IF(IFERROR(HLOOKUP(F$2,$M$2:$BL164,$J164,FALSE),"")="","",IFERROR(HLOOKUP(F$2,$M$2:$BL164,$J164,FALSE),""))</f>
        <v/>
      </c>
      <c r="G164" s="22" t="str">
        <f>IF(IFERROR(HLOOKUP(G$2,$M$2:$BL164,$J164,FALSE),"")="","",IFERROR(HLOOKUP(G$2,$M$2:$BL164,$J164,FALSE),""))</f>
        <v/>
      </c>
      <c r="H164" s="22"/>
      <c r="J164" s="19">
        <f t="shared" si="17"/>
        <v>163</v>
      </c>
      <c r="S164" s="19" t="s">
        <v>840</v>
      </c>
      <c r="U164" s="19" t="s">
        <v>841</v>
      </c>
      <c r="V164" s="19" t="s">
        <v>842</v>
      </c>
      <c r="Y164" s="19" t="s">
        <v>843</v>
      </c>
    </row>
    <row r="165" spans="1:25" ht="10.5" customHeight="1">
      <c r="A165" s="16" t="str">
        <f t="shared" si="18"/>
        <v>AA and above</v>
      </c>
      <c r="B165" s="16" t="str">
        <f>IF(IFERROR(HLOOKUP(B$2,$M$2:$BL165,$J165,FALSE),"")="","",IFERROR(HLOOKUP(B$2,$M$2:$BL165,$J165,FALSE),""))</f>
        <v/>
      </c>
      <c r="C165" s="16" t="str">
        <f>IF(IFERROR(HLOOKUP(C$2,$M$2:$BL165,$J165,FALSE),"")="","",IFERROR(HLOOKUP(C$2,$M$2:$BL165,$J165,FALSE),""))</f>
        <v/>
      </c>
      <c r="D165" s="16" t="str">
        <f>IF(IFERROR(HLOOKUP(D$2,$M$2:$BL165,$J165,FALSE),"")="","",IFERROR(HLOOKUP(D$2,$M$2:$BL165,$J165,FALSE),""))</f>
        <v/>
      </c>
      <c r="E165" s="16" t="str">
        <f>IF(IFERROR(HLOOKUP(E$2,$M$2:$BL165,$J165,FALSE),"")="","",IFERROR(HLOOKUP(E$2,$M$2:$BL165,$J165,FALSE),""))</f>
        <v/>
      </c>
      <c r="F165" s="16" t="str">
        <f>IF(IFERROR(HLOOKUP(F$2,$M$2:$BL165,$J165,FALSE),"")="","",IFERROR(HLOOKUP(F$2,$M$2:$BL165,$J165,FALSE),""))</f>
        <v/>
      </c>
      <c r="G165" s="16" t="str">
        <f>IF(IFERROR(HLOOKUP(G$2,$M$2:$BL165,$J165,FALSE),"")="","",IFERROR(HLOOKUP(G$2,$M$2:$BL165,$J165,FALSE),""))</f>
        <v/>
      </c>
      <c r="J165" s="16">
        <f t="shared" si="17"/>
        <v>164</v>
      </c>
      <c r="S165" s="16" t="s">
        <v>844</v>
      </c>
      <c r="U165" s="16" t="s">
        <v>810</v>
      </c>
      <c r="V165" s="16" t="s">
        <v>103</v>
      </c>
      <c r="Y165" s="16" t="s">
        <v>845</v>
      </c>
    </row>
    <row r="166" spans="1:25" ht="10.5" customHeight="1">
      <c r="A166" s="16" t="str">
        <f t="shared" si="18"/>
        <v>A</v>
      </c>
      <c r="B166" s="16" t="str">
        <f>IF(IFERROR(HLOOKUP(B$2,$M$2:$BL166,$J166,FALSE),"")="","",IFERROR(HLOOKUP(B$2,$M$2:$BL166,$J166,FALSE),""))</f>
        <v/>
      </c>
      <c r="C166" s="16" t="str">
        <f>IF(IFERROR(HLOOKUP(C$2,$M$2:$BL166,$J166,FALSE),"")="","",IFERROR(HLOOKUP(C$2,$M$2:$BL166,$J166,FALSE),""))</f>
        <v/>
      </c>
      <c r="D166" s="16" t="str">
        <f>IF(IFERROR(HLOOKUP(D$2,$M$2:$BL166,$J166,FALSE),"")="","",IFERROR(HLOOKUP(D$2,$M$2:$BL166,$J166,FALSE),""))</f>
        <v/>
      </c>
      <c r="E166" s="16" t="str">
        <f>IF(IFERROR(HLOOKUP(E$2,$M$2:$BL166,$J166,FALSE),"")="","",IFERROR(HLOOKUP(E$2,$M$2:$BL166,$J166,FALSE),""))</f>
        <v/>
      </c>
      <c r="F166" s="16" t="str">
        <f>IF(IFERROR(HLOOKUP(F$2,$M$2:$BL166,$J166,FALSE),"")="","",IFERROR(HLOOKUP(F$2,$M$2:$BL166,$J166,FALSE),""))</f>
        <v/>
      </c>
      <c r="G166" s="16" t="str">
        <f>IF(IFERROR(HLOOKUP(G$2,$M$2:$BL166,$J166,FALSE),"")="","",IFERROR(HLOOKUP(G$2,$M$2:$BL166,$J166,FALSE),""))</f>
        <v/>
      </c>
      <c r="J166" s="16">
        <f t="shared" si="17"/>
        <v>165</v>
      </c>
      <c r="S166" s="16" t="s">
        <v>846</v>
      </c>
      <c r="U166" s="16" t="s">
        <v>429</v>
      </c>
      <c r="V166" s="26" t="s">
        <v>847</v>
      </c>
      <c r="Y166" s="16" t="s">
        <v>845</v>
      </c>
    </row>
    <row r="167" spans="1:25" ht="10.5" customHeight="1">
      <c r="A167" s="16" t="str">
        <f t="shared" si="18"/>
        <v>BBB</v>
      </c>
      <c r="B167" s="16" t="str">
        <f>IF(IFERROR(HLOOKUP(B$2,$M$2:$BL167,$J167,FALSE),"")="","",IFERROR(HLOOKUP(B$2,$M$2:$BL167,$J167,FALSE),""))</f>
        <v/>
      </c>
      <c r="C167" s="16" t="str">
        <f>IF(IFERROR(HLOOKUP(C$2,$M$2:$BL167,$J167,FALSE),"")="","",IFERROR(HLOOKUP(C$2,$M$2:$BL167,$J167,FALSE),""))</f>
        <v/>
      </c>
      <c r="D167" s="16" t="str">
        <f>IF(IFERROR(HLOOKUP(D$2,$M$2:$BL167,$J167,FALSE),"")="","",IFERROR(HLOOKUP(D$2,$M$2:$BL167,$J167,FALSE),""))</f>
        <v/>
      </c>
      <c r="E167" s="16" t="str">
        <f>IF(IFERROR(HLOOKUP(E$2,$M$2:$BL167,$J167,FALSE),"")="","",IFERROR(HLOOKUP(E$2,$M$2:$BL167,$J167,FALSE),""))</f>
        <v/>
      </c>
      <c r="F167" s="16" t="str">
        <f>IF(IFERROR(HLOOKUP(F$2,$M$2:$BL167,$J167,FALSE),"")="","",IFERROR(HLOOKUP(F$2,$M$2:$BL167,$J167,FALSE),""))</f>
        <v/>
      </c>
      <c r="G167" s="16" t="str">
        <f>IF(IFERROR(HLOOKUP(G$2,$M$2:$BL167,$J167,FALSE),"")="","",IFERROR(HLOOKUP(G$2,$M$2:$BL167,$J167,FALSE),""))</f>
        <v/>
      </c>
      <c r="J167" s="16">
        <f t="shared" si="17"/>
        <v>166</v>
      </c>
      <c r="S167" s="16" t="s">
        <v>848</v>
      </c>
      <c r="U167" s="16" t="s">
        <v>849</v>
      </c>
      <c r="V167" s="26" t="s">
        <v>850</v>
      </c>
      <c r="Y167" s="16" t="s">
        <v>851</v>
      </c>
    </row>
    <row r="168" spans="1:25" ht="10.5" customHeight="1">
      <c r="A168" s="16" t="str">
        <f t="shared" si="18"/>
        <v>BB</v>
      </c>
      <c r="B168" s="16" t="str">
        <f>IF(IFERROR(HLOOKUP(B$2,$M$2:$BL168,$J168,FALSE),"")="","",IFERROR(HLOOKUP(B$2,$M$2:$BL168,$J168,FALSE),""))</f>
        <v/>
      </c>
      <c r="C168" s="16" t="str">
        <f>IF(IFERROR(HLOOKUP(C$2,$M$2:$BL168,$J168,FALSE),"")="","",IFERROR(HLOOKUP(C$2,$M$2:$BL168,$J168,FALSE),""))</f>
        <v/>
      </c>
      <c r="D168" s="16" t="str">
        <f>IF(IFERROR(HLOOKUP(D$2,$M$2:$BL168,$J168,FALSE),"")="","",IFERROR(HLOOKUP(D$2,$M$2:$BL168,$J168,FALSE),""))</f>
        <v/>
      </c>
      <c r="E168" s="16" t="str">
        <f>IF(IFERROR(HLOOKUP(E$2,$M$2:$BL168,$J168,FALSE),"")="","",IFERROR(HLOOKUP(E$2,$M$2:$BL168,$J168,FALSE),""))</f>
        <v/>
      </c>
      <c r="F168" s="16" t="str">
        <f>IF(IFERROR(HLOOKUP(F$2,$M$2:$BL168,$J168,FALSE),"")="","",IFERROR(HLOOKUP(F$2,$M$2:$BL168,$J168,FALSE),""))</f>
        <v/>
      </c>
      <c r="G168" s="16" t="str">
        <f>IF(IFERROR(HLOOKUP(G$2,$M$2:$BL168,$J168,FALSE),"")="","",IFERROR(HLOOKUP(G$2,$M$2:$BL168,$J168,FALSE),""))</f>
        <v/>
      </c>
      <c r="J168" s="16">
        <f t="shared" si="17"/>
        <v>167</v>
      </c>
      <c r="S168" s="16" t="s">
        <v>852</v>
      </c>
      <c r="U168" s="16" t="s">
        <v>853</v>
      </c>
      <c r="V168" s="26" t="s">
        <v>854</v>
      </c>
      <c r="Y168" s="16" t="s">
        <v>853</v>
      </c>
    </row>
    <row r="169" spans="1:25" ht="10.5" customHeight="1">
      <c r="A169" s="16" t="str">
        <f t="shared" si="18"/>
        <v>B</v>
      </c>
      <c r="B169" s="16" t="str">
        <f>IF(IFERROR(HLOOKUP(B$2,$M$2:$BL169,$J169,FALSE),"")="","",IFERROR(HLOOKUP(B$2,$M$2:$BL169,$J169,FALSE),""))</f>
        <v/>
      </c>
      <c r="C169" s="16" t="str">
        <f>IF(IFERROR(HLOOKUP(C$2,$M$2:$BL169,$J169,FALSE),"")="","",IFERROR(HLOOKUP(C$2,$M$2:$BL169,$J169,FALSE),""))</f>
        <v/>
      </c>
      <c r="D169" s="16" t="str">
        <f>IF(IFERROR(HLOOKUP(D$2,$M$2:$BL169,$J169,FALSE),"")="","",IFERROR(HLOOKUP(D$2,$M$2:$BL169,$J169,FALSE),""))</f>
        <v/>
      </c>
      <c r="E169" s="16" t="str">
        <f>IF(IFERROR(HLOOKUP(E$2,$M$2:$BL169,$J169,FALSE),"")="","",IFERROR(HLOOKUP(E$2,$M$2:$BL169,$J169,FALSE),""))</f>
        <v/>
      </c>
      <c r="F169" s="16" t="str">
        <f>IF(IFERROR(HLOOKUP(F$2,$M$2:$BL169,$J169,FALSE),"")="","",IFERROR(HLOOKUP(F$2,$M$2:$BL169,$J169,FALSE),""))</f>
        <v/>
      </c>
      <c r="G169" s="16" t="str">
        <f>IF(IFERROR(HLOOKUP(G$2,$M$2:$BL169,$J169,FALSE),"")="","",IFERROR(HLOOKUP(G$2,$M$2:$BL169,$J169,FALSE),""))</f>
        <v/>
      </c>
      <c r="J169" s="16">
        <f t="shared" si="17"/>
        <v>168</v>
      </c>
      <c r="S169" s="16" t="s">
        <v>855</v>
      </c>
      <c r="U169" s="16" t="s">
        <v>791</v>
      </c>
      <c r="V169" s="26" t="s">
        <v>856</v>
      </c>
      <c r="Y169" s="16" t="s">
        <v>857</v>
      </c>
    </row>
    <row r="170" spans="1:25" ht="10.5" customHeight="1">
      <c r="A170" s="16" t="str">
        <f t="shared" si="18"/>
        <v>CCC and below</v>
      </c>
      <c r="B170" s="16" t="str">
        <f>IF(IFERROR(HLOOKUP(B$2,$M$2:$BL170,$J170,FALSE),"")="","",IFERROR(HLOOKUP(B$2,$M$2:$BL170,$J170,FALSE),""))</f>
        <v/>
      </c>
      <c r="C170" s="16" t="str">
        <f>IF(IFERROR(HLOOKUP(C$2,$M$2:$BL170,$J170,FALSE),"")="","",IFERROR(HLOOKUP(C$2,$M$2:$BL170,$J170,FALSE),""))</f>
        <v/>
      </c>
      <c r="D170" s="16" t="str">
        <f>IF(IFERROR(HLOOKUP(D$2,$M$2:$BL170,$J170,FALSE),"")="","",IFERROR(HLOOKUP(D$2,$M$2:$BL170,$J170,FALSE),""))</f>
        <v/>
      </c>
      <c r="E170" s="16" t="str">
        <f>IF(IFERROR(HLOOKUP(E$2,$M$2:$BL170,$J170,FALSE),"")="","",IFERROR(HLOOKUP(E$2,$M$2:$BL170,$J170,FALSE),""))</f>
        <v/>
      </c>
      <c r="F170" s="16" t="str">
        <f>IF(IFERROR(HLOOKUP(F$2,$M$2:$BL170,$J170,FALSE),"")="","",IFERROR(HLOOKUP(F$2,$M$2:$BL170,$J170,FALSE),""))</f>
        <v/>
      </c>
      <c r="G170" s="16" t="str">
        <f>IF(IFERROR(HLOOKUP(G$2,$M$2:$BL170,$J170,FALSE),"")="","",IFERROR(HLOOKUP(G$2,$M$2:$BL170,$J170,FALSE),""))</f>
        <v/>
      </c>
      <c r="J170" s="16">
        <f t="shared" si="17"/>
        <v>169</v>
      </c>
      <c r="S170" s="16" t="s">
        <v>855</v>
      </c>
      <c r="U170" s="16" t="s">
        <v>103</v>
      </c>
      <c r="V170" s="16" t="s">
        <v>858</v>
      </c>
      <c r="Y170" s="16" t="s">
        <v>103</v>
      </c>
    </row>
    <row r="171" spans="1:25" s="19" customFormat="1">
      <c r="A171" s="22" t="str">
        <f t="shared" si="18"/>
        <v>Factor 5</v>
      </c>
      <c r="B171" s="19" t="str">
        <f>IF(IFERROR(HLOOKUP(B$2,$M$2:$BL171,$J171,FALSE),"")="","",IFERROR(HLOOKUP(B$2,$M$2:$BL171,$J171,FALSE),""))</f>
        <v/>
      </c>
      <c r="C171" s="22" t="str">
        <f>IF(IFERROR(HLOOKUP(C$2,$M$2:$BL171,$J171,FALSE),"")="","",IFERROR(HLOOKUP(C$2,$M$2:$BL171,$J171,FALSE),""))</f>
        <v/>
      </c>
      <c r="D171" s="22" t="str">
        <f>IF(IFERROR(HLOOKUP(D$2,$M$2:$BL171,$J171,FALSE),"")="","",IFERROR(HLOOKUP(D$2,$M$2:$BL171,$J171,FALSE),""))</f>
        <v/>
      </c>
      <c r="E171" s="22" t="str">
        <f>IF(IFERROR(HLOOKUP(E$2,$M$2:$BL171,$J171,FALSE),"")="","",IFERROR(HLOOKUP(E$2,$M$2:$BL171,$J171,FALSE),""))</f>
        <v/>
      </c>
      <c r="F171" s="22" t="str">
        <f>IF(IFERROR(HLOOKUP(F$2,$M$2:$BL171,$J171,FALSE),"")="","",IFERROR(HLOOKUP(F$2,$M$2:$BL171,$J171,FALSE),""))</f>
        <v/>
      </c>
      <c r="G171" s="22" t="str">
        <f>IF(IFERROR(HLOOKUP(G$2,$M$2:$BL171,$J171,FALSE),"")="","",IFERROR(HLOOKUP(G$2,$M$2:$BL171,$J171,FALSE),""))</f>
        <v/>
      </c>
      <c r="H171" s="22"/>
      <c r="J171" s="19">
        <f t="shared" si="17"/>
        <v>170</v>
      </c>
      <c r="S171" s="19" t="s">
        <v>859</v>
      </c>
    </row>
    <row r="172" spans="1:25">
      <c r="A172" s="16" t="str">
        <f t="shared" si="18"/>
        <v>AA and above</v>
      </c>
      <c r="B172" s="16" t="str">
        <f>IF(IFERROR(HLOOKUP(B$2,$M$2:$BL172,$J172,FALSE),"")="","",IFERROR(HLOOKUP(B$2,$M$2:$BL172,$J172,FALSE),""))</f>
        <v/>
      </c>
      <c r="C172" s="16" t="str">
        <f>IF(IFERROR(HLOOKUP(C$2,$M$2:$BL172,$J172,FALSE),"")="","",IFERROR(HLOOKUP(C$2,$M$2:$BL172,$J172,FALSE),""))</f>
        <v/>
      </c>
      <c r="D172" s="16" t="str">
        <f>IF(IFERROR(HLOOKUP(D$2,$M$2:$BL172,$J172,FALSE),"")="","",IFERROR(HLOOKUP(D$2,$M$2:$BL172,$J172,FALSE),""))</f>
        <v/>
      </c>
      <c r="E172" s="16" t="str">
        <f>IF(IFERROR(HLOOKUP(E$2,$M$2:$BL172,$J172,FALSE),"")="","",IFERROR(HLOOKUP(E$2,$M$2:$BL172,$J172,FALSE),""))</f>
        <v/>
      </c>
      <c r="F172" s="16" t="str">
        <f>IF(IFERROR(HLOOKUP(F$2,$M$2:$BL172,$J172,FALSE),"")="","",IFERROR(HLOOKUP(F$2,$M$2:$BL172,$J172,FALSE),""))</f>
        <v/>
      </c>
      <c r="G172" s="16" t="str">
        <f>IF(IFERROR(HLOOKUP(G$2,$M$2:$BL172,$J172,FALSE),"")="","",IFERROR(HLOOKUP(G$2,$M$2:$BL172,$J172,FALSE),""))</f>
        <v/>
      </c>
      <c r="J172" s="16">
        <f t="shared" si="17"/>
        <v>171</v>
      </c>
      <c r="S172" s="16" t="s">
        <v>860</v>
      </c>
    </row>
    <row r="173" spans="1:25">
      <c r="A173" s="16" t="str">
        <f t="shared" si="18"/>
        <v>A</v>
      </c>
      <c r="B173" s="16" t="str">
        <f>IF(IFERROR(HLOOKUP(B$2,$M$2:$BL173,$J173,FALSE),"")="","",IFERROR(HLOOKUP(B$2,$M$2:$BL173,$J173,FALSE),""))</f>
        <v/>
      </c>
      <c r="C173" s="16" t="str">
        <f>IF(IFERROR(HLOOKUP(C$2,$M$2:$BL173,$J173,FALSE),"")="","",IFERROR(HLOOKUP(C$2,$M$2:$BL173,$J173,FALSE),""))</f>
        <v/>
      </c>
      <c r="D173" s="16" t="str">
        <f>IF(IFERROR(HLOOKUP(D$2,$M$2:$BL173,$J173,FALSE),"")="","",IFERROR(HLOOKUP(D$2,$M$2:$BL173,$J173,FALSE),""))</f>
        <v/>
      </c>
      <c r="E173" s="16" t="str">
        <f>IF(IFERROR(HLOOKUP(E$2,$M$2:$BL173,$J173,FALSE),"")="","",IFERROR(HLOOKUP(E$2,$M$2:$BL173,$J173,FALSE),""))</f>
        <v/>
      </c>
      <c r="F173" s="16" t="str">
        <f>IF(IFERROR(HLOOKUP(F$2,$M$2:$BL173,$J173,FALSE),"")="","",IFERROR(HLOOKUP(F$2,$M$2:$BL173,$J173,FALSE),""))</f>
        <v/>
      </c>
      <c r="G173" s="16" t="str">
        <f>IF(IFERROR(HLOOKUP(G$2,$M$2:$BL173,$J173,FALSE),"")="","",IFERROR(HLOOKUP(G$2,$M$2:$BL173,$J173,FALSE),""))</f>
        <v/>
      </c>
      <c r="J173" s="16">
        <f t="shared" si="17"/>
        <v>172</v>
      </c>
      <c r="S173" s="16" t="s">
        <v>860</v>
      </c>
    </row>
    <row r="174" spans="1:25">
      <c r="A174" s="16" t="str">
        <f t="shared" si="18"/>
        <v>BBB</v>
      </c>
      <c r="B174" s="16" t="str">
        <f>IF(IFERROR(HLOOKUP(B$2,$M$2:$BL174,$J174,FALSE),"")="","",IFERROR(HLOOKUP(B$2,$M$2:$BL174,$J174,FALSE),""))</f>
        <v/>
      </c>
      <c r="C174" s="16" t="str">
        <f>IF(IFERROR(HLOOKUP(C$2,$M$2:$BL174,$J174,FALSE),"")="","",IFERROR(HLOOKUP(C$2,$M$2:$BL174,$J174,FALSE),""))</f>
        <v/>
      </c>
      <c r="D174" s="16" t="str">
        <f>IF(IFERROR(HLOOKUP(D$2,$M$2:$BL174,$J174,FALSE),"")="","",IFERROR(HLOOKUP(D$2,$M$2:$BL174,$J174,FALSE),""))</f>
        <v/>
      </c>
      <c r="E174" s="16" t="str">
        <f>IF(IFERROR(HLOOKUP(E$2,$M$2:$BL174,$J174,FALSE),"")="","",IFERROR(HLOOKUP(E$2,$M$2:$BL174,$J174,FALSE),""))</f>
        <v/>
      </c>
      <c r="F174" s="16" t="str">
        <f>IF(IFERROR(HLOOKUP(F$2,$M$2:$BL174,$J174,FALSE),"")="","",IFERROR(HLOOKUP(F$2,$M$2:$BL174,$J174,FALSE),""))</f>
        <v/>
      </c>
      <c r="G174" s="16" t="str">
        <f>IF(IFERROR(HLOOKUP(G$2,$M$2:$BL174,$J174,FALSE),"")="","",IFERROR(HLOOKUP(G$2,$M$2:$BL174,$J174,FALSE),""))</f>
        <v/>
      </c>
      <c r="J174" s="16">
        <f t="shared" si="17"/>
        <v>173</v>
      </c>
      <c r="S174" s="16" t="s">
        <v>861</v>
      </c>
    </row>
    <row r="175" spans="1:25">
      <c r="A175" s="16" t="str">
        <f t="shared" si="18"/>
        <v>BB</v>
      </c>
      <c r="B175" s="16" t="str">
        <f>IF(IFERROR(HLOOKUP(B$2,$M$2:$BL175,$J175,FALSE),"")="","",IFERROR(HLOOKUP(B$2,$M$2:$BL175,$J175,FALSE),""))</f>
        <v/>
      </c>
      <c r="C175" s="16" t="str">
        <f>IF(IFERROR(HLOOKUP(C$2,$M$2:$BL175,$J175,FALSE),"")="","",IFERROR(HLOOKUP(C$2,$M$2:$BL175,$J175,FALSE),""))</f>
        <v/>
      </c>
      <c r="D175" s="16" t="str">
        <f>IF(IFERROR(HLOOKUP(D$2,$M$2:$BL175,$J175,FALSE),"")="","",IFERROR(HLOOKUP(D$2,$M$2:$BL175,$J175,FALSE),""))</f>
        <v/>
      </c>
      <c r="E175" s="16" t="str">
        <f>IF(IFERROR(HLOOKUP(E$2,$M$2:$BL175,$J175,FALSE),"")="","",IFERROR(HLOOKUP(E$2,$M$2:$BL175,$J175,FALSE),""))</f>
        <v/>
      </c>
      <c r="F175" s="16" t="str">
        <f>IF(IFERROR(HLOOKUP(F$2,$M$2:$BL175,$J175,FALSE),"")="","",IFERROR(HLOOKUP(F$2,$M$2:$BL175,$J175,FALSE),""))</f>
        <v/>
      </c>
      <c r="G175" s="16" t="str">
        <f>IF(IFERROR(HLOOKUP(G$2,$M$2:$BL175,$J175,FALSE),"")="","",IFERROR(HLOOKUP(G$2,$M$2:$BL175,$J175,FALSE),""))</f>
        <v/>
      </c>
      <c r="J175" s="16">
        <f t="shared" si="17"/>
        <v>174</v>
      </c>
      <c r="S175" s="16" t="s">
        <v>862</v>
      </c>
    </row>
    <row r="176" spans="1:25">
      <c r="A176" s="16" t="str">
        <f t="shared" si="18"/>
        <v>B</v>
      </c>
      <c r="B176" s="16" t="str">
        <f>IF(IFERROR(HLOOKUP(B$2,$M$2:$BL176,$J176,FALSE),"")="","",IFERROR(HLOOKUP(B$2,$M$2:$BL176,$J176,FALSE),""))</f>
        <v/>
      </c>
      <c r="C176" s="16" t="str">
        <f>IF(IFERROR(HLOOKUP(C$2,$M$2:$BL176,$J176,FALSE),"")="","",IFERROR(HLOOKUP(C$2,$M$2:$BL176,$J176,FALSE),""))</f>
        <v/>
      </c>
      <c r="D176" s="16" t="str">
        <f>IF(IFERROR(HLOOKUP(D$2,$M$2:$BL176,$J176,FALSE),"")="","",IFERROR(HLOOKUP(D$2,$M$2:$BL176,$J176,FALSE),""))</f>
        <v/>
      </c>
      <c r="E176" s="16" t="str">
        <f>IF(IFERROR(HLOOKUP(E$2,$M$2:$BL176,$J176,FALSE),"")="","",IFERROR(HLOOKUP(E$2,$M$2:$BL176,$J176,FALSE),""))</f>
        <v/>
      </c>
      <c r="F176" s="16" t="str">
        <f>IF(IFERROR(HLOOKUP(F$2,$M$2:$BL176,$J176,FALSE),"")="","",IFERROR(HLOOKUP(F$2,$M$2:$BL176,$J176,FALSE),""))</f>
        <v/>
      </c>
      <c r="G176" s="16" t="str">
        <f>IF(IFERROR(HLOOKUP(G$2,$M$2:$BL176,$J176,FALSE),"")="","",IFERROR(HLOOKUP(G$2,$M$2:$BL176,$J176,FALSE),""))</f>
        <v/>
      </c>
      <c r="J176" s="16">
        <f t="shared" si="17"/>
        <v>175</v>
      </c>
      <c r="S176" s="16" t="s">
        <v>863</v>
      </c>
    </row>
    <row r="177" spans="1:25">
      <c r="A177" s="16" t="str">
        <f t="shared" si="18"/>
        <v>CCC and below</v>
      </c>
      <c r="B177" s="16" t="str">
        <f>IF(IFERROR(HLOOKUP(B$2,$M$2:$BL177,$J177,FALSE),"")="","",IFERROR(HLOOKUP(B$2,$M$2:$BL177,$J177,FALSE),""))</f>
        <v/>
      </c>
      <c r="C177" s="16" t="str">
        <f>IF(IFERROR(HLOOKUP(C$2,$M$2:$BL177,$J177,FALSE),"")="","",IFERROR(HLOOKUP(C$2,$M$2:$BL177,$J177,FALSE),""))</f>
        <v/>
      </c>
      <c r="D177" s="16" t="str">
        <f>IF(IFERROR(HLOOKUP(D$2,$M$2:$BL177,$J177,FALSE),"")="","",IFERROR(HLOOKUP(D$2,$M$2:$BL177,$J177,FALSE),""))</f>
        <v/>
      </c>
      <c r="E177" s="16" t="str">
        <f>IF(IFERROR(HLOOKUP(E$2,$M$2:$BL177,$J177,FALSE),"")="","",IFERROR(HLOOKUP(E$2,$M$2:$BL177,$J177,FALSE),""))</f>
        <v/>
      </c>
      <c r="F177" s="16" t="str">
        <f>IF(IFERROR(HLOOKUP(F$2,$M$2:$BL177,$J177,FALSE),"")="","",IFERROR(HLOOKUP(F$2,$M$2:$BL177,$J177,FALSE),""))</f>
        <v/>
      </c>
      <c r="G177" s="16" t="str">
        <f>IF(IFERROR(HLOOKUP(G$2,$M$2:$BL177,$J177,FALSE),"")="","",IFERROR(HLOOKUP(G$2,$M$2:$BL177,$J177,FALSE),""))</f>
        <v/>
      </c>
      <c r="J177" s="16">
        <f t="shared" si="17"/>
        <v>176</v>
      </c>
      <c r="S177" s="16" t="s">
        <v>863</v>
      </c>
    </row>
    <row r="178" spans="1:25">
      <c r="J178" s="16">
        <f t="shared" si="17"/>
        <v>177</v>
      </c>
    </row>
    <row r="179" spans="1:25">
      <c r="J179" s="16">
        <f t="shared" si="17"/>
        <v>178</v>
      </c>
    </row>
    <row r="180" spans="1:25">
      <c r="A180" s="24" t="s">
        <v>864</v>
      </c>
      <c r="B180" s="16" t="str">
        <f>IF(IFERROR(HLOOKUP(B$2,$M$2:$BL180,$J180,FALSE),"")="","",IFERROR(HLOOKUP(B$2,$M$2:$BL180,$J180,FALSE),""))</f>
        <v/>
      </c>
      <c r="C180" s="16" t="str">
        <f>IF(IFERROR(HLOOKUP(C$2,$M$2:$BL180,$J180,FALSE),"")="","",IFERROR(HLOOKUP(C$2,$M$2:$BL180,$J180,FALSE),""))</f>
        <v/>
      </c>
      <c r="D180" s="16" t="str">
        <f>IF(IFERROR(HLOOKUP(D$2,$M$2:$BL180,$J180,FALSE),"")="","",IFERROR(HLOOKUP(D$2,$M$2:$BL180,$J180,FALSE),""))</f>
        <v/>
      </c>
      <c r="E180" s="16" t="str">
        <f>IF(IFERROR(HLOOKUP(E$2,$M$2:$BL180,$J180,FALSE),"")="","",IFERROR(HLOOKUP(E$2,$M$2:$BL180,$J180,FALSE),""))</f>
        <v/>
      </c>
      <c r="F180" s="16" t="str">
        <f>IF(IFERROR(HLOOKUP(F$2,$M$2:$BL180,$J180,FALSE),"")="","",IFERROR(HLOOKUP(F$2,$M$2:$BL180,$J180,FALSE),""))</f>
        <v/>
      </c>
      <c r="G180" s="16" t="str">
        <f>IF(IFERROR(HLOOKUP(G$2,$M$2:$BL180,$J180,FALSE),"")="","",IFERROR(HLOOKUP(G$2,$M$2:$BL180,$J180,FALSE),""))</f>
        <v/>
      </c>
      <c r="J180" s="16">
        <f t="shared" si="17"/>
        <v>179</v>
      </c>
      <c r="U180" s="18" t="s">
        <v>865</v>
      </c>
    </row>
    <row r="181" spans="1:25" s="19" customFormat="1">
      <c r="A181" s="22" t="str">
        <f t="shared" ref="A181:A215" si="19">+A143</f>
        <v>Factor 1</v>
      </c>
      <c r="B181" s="19" t="str">
        <f>IF(IFERROR(HLOOKUP(B$2,$M$2:$BL181,$J181,FALSE),"")="","",IFERROR(HLOOKUP(B$2,$M$2:$BL181,$J181,FALSE),""))</f>
        <v/>
      </c>
      <c r="C181" s="22" t="str">
        <f>IF(IFERROR(HLOOKUP(C$2,$M$2:$BL181,$J181,FALSE),"")="","",IFERROR(HLOOKUP(C$2,$M$2:$BL181,$J181,FALSE),""))</f>
        <v/>
      </c>
      <c r="D181" s="22" t="str">
        <f>IF(IFERROR(HLOOKUP(D$2,$M$2:$BL181,$J181,FALSE),"")="","",IFERROR(HLOOKUP(D$2,$M$2:$BL181,$J181,FALSE),""))</f>
        <v/>
      </c>
      <c r="E181" s="22" t="str">
        <f>IF(IFERROR(HLOOKUP(E$2,$M$2:$BL181,$J181,FALSE),"")="","",IFERROR(HLOOKUP(E$2,$M$2:$BL181,$J181,FALSE),""))</f>
        <v/>
      </c>
      <c r="F181" s="22" t="str">
        <f>IF(IFERROR(HLOOKUP(F$2,$M$2:$BL181,$J181,FALSE),"")="","",IFERROR(HLOOKUP(F$2,$M$2:$BL181,$J181,FALSE),""))</f>
        <v/>
      </c>
      <c r="G181" s="22" t="str">
        <f>IF(IFERROR(HLOOKUP(G$2,$M$2:$BL181,$J181,FALSE),"")="","",IFERROR(HLOOKUP(G$2,$M$2:$BL181,$J181,FALSE),""))</f>
        <v/>
      </c>
      <c r="H181" s="22"/>
      <c r="J181" s="19">
        <f t="shared" si="17"/>
        <v>180</v>
      </c>
      <c r="U181" s="19" t="s">
        <v>336</v>
      </c>
      <c r="Y181" s="19" t="s">
        <v>866</v>
      </c>
    </row>
    <row r="182" spans="1:25">
      <c r="A182" s="16" t="str">
        <f t="shared" si="19"/>
        <v>AA and above</v>
      </c>
      <c r="B182" s="16" t="str">
        <f>IF(IFERROR(HLOOKUP(B$2,$M$2:$BL182,$J182,FALSE),"")="","",IFERROR(HLOOKUP(B$2,$M$2:$BL182,$J182,FALSE),""))</f>
        <v/>
      </c>
      <c r="C182" s="16" t="str">
        <f>IF(IFERROR(HLOOKUP(C$2,$M$2:$BL182,$J182,FALSE),"")="","",IFERROR(HLOOKUP(C$2,$M$2:$BL182,$J182,FALSE),""))</f>
        <v/>
      </c>
      <c r="D182" s="16" t="str">
        <f>IF(IFERROR(HLOOKUP(D$2,$M$2:$BL182,$J182,FALSE),"")="","",IFERROR(HLOOKUP(D$2,$M$2:$BL182,$J182,FALSE),""))</f>
        <v/>
      </c>
      <c r="E182" s="16" t="str">
        <f>IF(IFERROR(HLOOKUP(E$2,$M$2:$BL182,$J182,FALSE),"")="","",IFERROR(HLOOKUP(E$2,$M$2:$BL182,$J182,FALSE),""))</f>
        <v/>
      </c>
      <c r="F182" s="16" t="str">
        <f>IF(IFERROR(HLOOKUP(F$2,$M$2:$BL182,$J182,FALSE),"")="","",IFERROR(HLOOKUP(F$2,$M$2:$BL182,$J182,FALSE),""))</f>
        <v/>
      </c>
      <c r="G182" s="16" t="str">
        <f>IF(IFERROR(HLOOKUP(G$2,$M$2:$BL182,$J182,FALSE),"")="","",IFERROR(HLOOKUP(G$2,$M$2:$BL182,$J182,FALSE),""))</f>
        <v/>
      </c>
      <c r="J182" s="16">
        <f t="shared" si="17"/>
        <v>181</v>
      </c>
      <c r="U182" s="16" t="s">
        <v>867</v>
      </c>
      <c r="Y182" s="16" t="s">
        <v>868</v>
      </c>
    </row>
    <row r="183" spans="1:25">
      <c r="A183" s="16" t="str">
        <f t="shared" si="19"/>
        <v>A</v>
      </c>
      <c r="B183" s="16" t="str">
        <f>IF(IFERROR(HLOOKUP(B$2,$M$2:$BL183,$J183,FALSE),"")="","",IFERROR(HLOOKUP(B$2,$M$2:$BL183,$J183,FALSE),""))</f>
        <v/>
      </c>
      <c r="C183" s="16" t="str">
        <f>IF(IFERROR(HLOOKUP(C$2,$M$2:$BL183,$J183,FALSE),"")="","",IFERROR(HLOOKUP(C$2,$M$2:$BL183,$J183,FALSE),""))</f>
        <v/>
      </c>
      <c r="D183" s="16" t="str">
        <f>IF(IFERROR(HLOOKUP(D$2,$M$2:$BL183,$J183,FALSE),"")="","",IFERROR(HLOOKUP(D$2,$M$2:$BL183,$J183,FALSE),""))</f>
        <v/>
      </c>
      <c r="E183" s="16" t="str">
        <f>IF(IFERROR(HLOOKUP(E$2,$M$2:$BL183,$J183,FALSE),"")="","",IFERROR(HLOOKUP(E$2,$M$2:$BL183,$J183,FALSE),""))</f>
        <v/>
      </c>
      <c r="F183" s="16" t="str">
        <f>IF(IFERROR(HLOOKUP(F$2,$M$2:$BL183,$J183,FALSE),"")="","",IFERROR(HLOOKUP(F$2,$M$2:$BL183,$J183,FALSE),""))</f>
        <v/>
      </c>
      <c r="G183" s="16" t="str">
        <f>IF(IFERROR(HLOOKUP(G$2,$M$2:$BL183,$J183,FALSE),"")="","",IFERROR(HLOOKUP(G$2,$M$2:$BL183,$J183,FALSE),""))</f>
        <v/>
      </c>
      <c r="J183" s="16">
        <f t="shared" si="17"/>
        <v>182</v>
      </c>
      <c r="U183" s="16" t="s">
        <v>867</v>
      </c>
      <c r="Y183" s="16" t="s">
        <v>542</v>
      </c>
    </row>
    <row r="184" spans="1:25">
      <c r="A184" s="16" t="str">
        <f t="shared" si="19"/>
        <v>BBB</v>
      </c>
      <c r="B184" s="16" t="str">
        <f>IF(IFERROR(HLOOKUP(B$2,$M$2:$BL184,$J184,FALSE),"")="","",IFERROR(HLOOKUP(B$2,$M$2:$BL184,$J184,FALSE),""))</f>
        <v/>
      </c>
      <c r="C184" s="16" t="str">
        <f>IF(IFERROR(HLOOKUP(C$2,$M$2:$BL184,$J184,FALSE),"")="","",IFERROR(HLOOKUP(C$2,$M$2:$BL184,$J184,FALSE),""))</f>
        <v/>
      </c>
      <c r="D184" s="16" t="str">
        <f>IF(IFERROR(HLOOKUP(D$2,$M$2:$BL184,$J184,FALSE),"")="","",IFERROR(HLOOKUP(D$2,$M$2:$BL184,$J184,FALSE),""))</f>
        <v/>
      </c>
      <c r="E184" s="16" t="str">
        <f>IF(IFERROR(HLOOKUP(E$2,$M$2:$BL184,$J184,FALSE),"")="","",IFERROR(HLOOKUP(E$2,$M$2:$BL184,$J184,FALSE),""))</f>
        <v/>
      </c>
      <c r="F184" s="16" t="str">
        <f>IF(IFERROR(HLOOKUP(F$2,$M$2:$BL184,$J184,FALSE),"")="","",IFERROR(HLOOKUP(F$2,$M$2:$BL184,$J184,FALSE),""))</f>
        <v/>
      </c>
      <c r="G184" s="16" t="str">
        <f>IF(IFERROR(HLOOKUP(G$2,$M$2:$BL184,$J184,FALSE),"")="","",IFERROR(HLOOKUP(G$2,$M$2:$BL184,$J184,FALSE),""))</f>
        <v/>
      </c>
      <c r="J184" s="16">
        <f t="shared" si="17"/>
        <v>183</v>
      </c>
      <c r="U184" s="16" t="s">
        <v>869</v>
      </c>
      <c r="Y184" s="16" t="s">
        <v>675</v>
      </c>
    </row>
    <row r="185" spans="1:25">
      <c r="A185" s="16" t="str">
        <f t="shared" si="19"/>
        <v>BB</v>
      </c>
      <c r="B185" s="16" t="str">
        <f>IF(IFERROR(HLOOKUP(B$2,$M$2:$BL185,$J185,FALSE),"")="","",IFERROR(HLOOKUP(B$2,$M$2:$BL185,$J185,FALSE),""))</f>
        <v/>
      </c>
      <c r="C185" s="16" t="str">
        <f>IF(IFERROR(HLOOKUP(C$2,$M$2:$BL185,$J185,FALSE),"")="","",IFERROR(HLOOKUP(C$2,$M$2:$BL185,$J185,FALSE),""))</f>
        <v/>
      </c>
      <c r="D185" s="16" t="str">
        <f>IF(IFERROR(HLOOKUP(D$2,$M$2:$BL185,$J185,FALSE),"")="","",IFERROR(HLOOKUP(D$2,$M$2:$BL185,$J185,FALSE),""))</f>
        <v/>
      </c>
      <c r="E185" s="16" t="str">
        <f>IF(IFERROR(HLOOKUP(E$2,$M$2:$BL185,$J185,FALSE),"")="","",IFERROR(HLOOKUP(E$2,$M$2:$BL185,$J185,FALSE),""))</f>
        <v/>
      </c>
      <c r="F185" s="16" t="str">
        <f>IF(IFERROR(HLOOKUP(F$2,$M$2:$BL185,$J185,FALSE),"")="","",IFERROR(HLOOKUP(F$2,$M$2:$BL185,$J185,FALSE),""))</f>
        <v/>
      </c>
      <c r="G185" s="16" t="str">
        <f>IF(IFERROR(HLOOKUP(G$2,$M$2:$BL185,$J185,FALSE),"")="","",IFERROR(HLOOKUP(G$2,$M$2:$BL185,$J185,FALSE),""))</f>
        <v/>
      </c>
      <c r="J185" s="16">
        <f t="shared" si="17"/>
        <v>184</v>
      </c>
      <c r="U185" s="16" t="s">
        <v>870</v>
      </c>
      <c r="Y185" s="14">
        <v>0</v>
      </c>
    </row>
    <row r="186" spans="1:25">
      <c r="A186" s="16" t="str">
        <f t="shared" si="19"/>
        <v>B</v>
      </c>
      <c r="B186" s="16" t="str">
        <f>IF(IFERROR(HLOOKUP(B$2,$M$2:$BL186,$J186,FALSE),"")="","",IFERROR(HLOOKUP(B$2,$M$2:$BL186,$J186,FALSE),""))</f>
        <v/>
      </c>
      <c r="C186" s="16" t="str">
        <f>IF(IFERROR(HLOOKUP(C$2,$M$2:$BL186,$J186,FALSE),"")="","",IFERROR(HLOOKUP(C$2,$M$2:$BL186,$J186,FALSE),""))</f>
        <v/>
      </c>
      <c r="D186" s="16" t="str">
        <f>IF(IFERROR(HLOOKUP(D$2,$M$2:$BL186,$J186,FALSE),"")="","",IFERROR(HLOOKUP(D$2,$M$2:$BL186,$J186,FALSE),""))</f>
        <v/>
      </c>
      <c r="E186" s="16" t="str">
        <f>IF(IFERROR(HLOOKUP(E$2,$M$2:$BL186,$J186,FALSE),"")="","",IFERROR(HLOOKUP(E$2,$M$2:$BL186,$J186,FALSE),""))</f>
        <v/>
      </c>
      <c r="F186" s="16" t="str">
        <f>IF(IFERROR(HLOOKUP(F$2,$M$2:$BL186,$J186,FALSE),"")="","",IFERROR(HLOOKUP(F$2,$M$2:$BL186,$J186,FALSE),""))</f>
        <v/>
      </c>
      <c r="G186" s="16" t="str">
        <f>IF(IFERROR(HLOOKUP(G$2,$M$2:$BL186,$J186,FALSE),"")="","",IFERROR(HLOOKUP(G$2,$M$2:$BL186,$J186,FALSE),""))</f>
        <v/>
      </c>
      <c r="J186" s="16">
        <f t="shared" si="17"/>
        <v>185</v>
      </c>
      <c r="U186" s="16" t="s">
        <v>871</v>
      </c>
      <c r="Y186" s="14">
        <v>0</v>
      </c>
    </row>
    <row r="187" spans="1:25">
      <c r="A187" s="16" t="str">
        <f t="shared" si="19"/>
        <v>CCC and below</v>
      </c>
      <c r="B187" s="16" t="str">
        <f>IF(IFERROR(HLOOKUP(B$2,$M$2:$BL187,$J187,FALSE),"")="","",IFERROR(HLOOKUP(B$2,$M$2:$BL187,$J187,FALSE),""))</f>
        <v/>
      </c>
      <c r="C187" s="16" t="str">
        <f>IF(IFERROR(HLOOKUP(C$2,$M$2:$BL187,$J187,FALSE),"")="","",IFERROR(HLOOKUP(C$2,$M$2:$BL187,$J187,FALSE),""))</f>
        <v/>
      </c>
      <c r="D187" s="16" t="str">
        <f>IF(IFERROR(HLOOKUP(D$2,$M$2:$BL187,$J187,FALSE),"")="","",IFERROR(HLOOKUP(D$2,$M$2:$BL187,$J187,FALSE),""))</f>
        <v/>
      </c>
      <c r="E187" s="16" t="str">
        <f>IF(IFERROR(HLOOKUP(E$2,$M$2:$BL187,$J187,FALSE),"")="","",IFERROR(HLOOKUP(E$2,$M$2:$BL187,$J187,FALSE),""))</f>
        <v/>
      </c>
      <c r="F187" s="16" t="str">
        <f>IF(IFERROR(HLOOKUP(F$2,$M$2:$BL187,$J187,FALSE),"")="","",IFERROR(HLOOKUP(F$2,$M$2:$BL187,$J187,FALSE),""))</f>
        <v/>
      </c>
      <c r="G187" s="16" t="str">
        <f>IF(IFERROR(HLOOKUP(G$2,$M$2:$BL187,$J187,FALSE),"")="","",IFERROR(HLOOKUP(G$2,$M$2:$BL187,$J187,FALSE),""))</f>
        <v/>
      </c>
      <c r="J187" s="16">
        <f t="shared" si="17"/>
        <v>186</v>
      </c>
      <c r="U187" s="16" t="s">
        <v>103</v>
      </c>
      <c r="Y187" s="16" t="s">
        <v>103</v>
      </c>
    </row>
    <row r="188" spans="1:25" s="19" customFormat="1">
      <c r="A188" s="22" t="str">
        <f t="shared" si="19"/>
        <v>Factor 2</v>
      </c>
      <c r="B188" s="19" t="str">
        <f>IF(IFERROR(HLOOKUP(B$2,$M$2:$BL188,$J188,FALSE),"")="","",IFERROR(HLOOKUP(B$2,$M$2:$BL188,$J188,FALSE),""))</f>
        <v/>
      </c>
      <c r="C188" s="22" t="str">
        <f>IF(IFERROR(HLOOKUP(C$2,$M$2:$BL188,$J188,FALSE),"")="","",IFERROR(HLOOKUP(C$2,$M$2:$BL188,$J188,FALSE),""))</f>
        <v/>
      </c>
      <c r="D188" s="22" t="str">
        <f>IF(IFERROR(HLOOKUP(D$2,$M$2:$BL188,$J188,FALSE),"")="","",IFERROR(HLOOKUP(D$2,$M$2:$BL188,$J188,FALSE),""))</f>
        <v/>
      </c>
      <c r="E188" s="22" t="str">
        <f>IF(IFERROR(HLOOKUP(E$2,$M$2:$BL188,$J188,FALSE),"")="","",IFERROR(HLOOKUP(E$2,$M$2:$BL188,$J188,FALSE),""))</f>
        <v/>
      </c>
      <c r="F188" s="22" t="str">
        <f>IF(IFERROR(HLOOKUP(F$2,$M$2:$BL188,$J188,FALSE),"")="","",IFERROR(HLOOKUP(F$2,$M$2:$BL188,$J188,FALSE),""))</f>
        <v/>
      </c>
      <c r="G188" s="22" t="str">
        <f>IF(IFERROR(HLOOKUP(G$2,$M$2:$BL188,$J188,FALSE),"")="","",IFERROR(HLOOKUP(G$2,$M$2:$BL188,$J188,FALSE),""))</f>
        <v/>
      </c>
      <c r="H188" s="22"/>
      <c r="J188" s="19">
        <f t="shared" si="17"/>
        <v>187</v>
      </c>
      <c r="U188" s="19" t="s">
        <v>872</v>
      </c>
    </row>
    <row r="189" spans="1:25">
      <c r="A189" s="16" t="str">
        <f t="shared" si="19"/>
        <v>AA and above</v>
      </c>
      <c r="B189" s="16" t="str">
        <f>IF(IFERROR(HLOOKUP(B$2,$M$2:$BL189,$J189,FALSE),"")="","",IFERROR(HLOOKUP(B$2,$M$2:$BL189,$J189,FALSE),""))</f>
        <v/>
      </c>
      <c r="C189" s="16" t="str">
        <f>IF(IFERROR(HLOOKUP(C$2,$M$2:$BL189,$J189,FALSE),"")="","",IFERROR(HLOOKUP(C$2,$M$2:$BL189,$J189,FALSE),""))</f>
        <v/>
      </c>
      <c r="D189" s="16" t="str">
        <f>IF(IFERROR(HLOOKUP(D$2,$M$2:$BL189,$J189,FALSE),"")="","",IFERROR(HLOOKUP(D$2,$M$2:$BL189,$J189,FALSE),""))</f>
        <v/>
      </c>
      <c r="E189" s="16" t="str">
        <f>IF(IFERROR(HLOOKUP(E$2,$M$2:$BL189,$J189,FALSE),"")="","",IFERROR(HLOOKUP(E$2,$M$2:$BL189,$J189,FALSE),""))</f>
        <v/>
      </c>
      <c r="F189" s="16" t="str">
        <f>IF(IFERROR(HLOOKUP(F$2,$M$2:$BL189,$J189,FALSE),"")="","",IFERROR(HLOOKUP(F$2,$M$2:$BL189,$J189,FALSE),""))</f>
        <v/>
      </c>
      <c r="G189" s="16" t="str">
        <f>IF(IFERROR(HLOOKUP(G$2,$M$2:$BL189,$J189,FALSE),"")="","",IFERROR(HLOOKUP(G$2,$M$2:$BL189,$J189,FALSE),""))</f>
        <v/>
      </c>
      <c r="J189" s="16">
        <f t="shared" si="17"/>
        <v>188</v>
      </c>
      <c r="U189" s="16" t="s">
        <v>224</v>
      </c>
    </row>
    <row r="190" spans="1:25">
      <c r="A190" s="16" t="str">
        <f t="shared" si="19"/>
        <v>A</v>
      </c>
      <c r="B190" s="16" t="str">
        <f>IF(IFERROR(HLOOKUP(B$2,$M$2:$BL190,$J190,FALSE),"")="","",IFERROR(HLOOKUP(B$2,$M$2:$BL190,$J190,FALSE),""))</f>
        <v/>
      </c>
      <c r="C190" s="16" t="str">
        <f>IF(IFERROR(HLOOKUP(C$2,$M$2:$BL190,$J190,FALSE),"")="","",IFERROR(HLOOKUP(C$2,$M$2:$BL190,$J190,FALSE),""))</f>
        <v/>
      </c>
      <c r="D190" s="16" t="str">
        <f>IF(IFERROR(HLOOKUP(D$2,$M$2:$BL190,$J190,FALSE),"")="","",IFERROR(HLOOKUP(D$2,$M$2:$BL190,$J190,FALSE),""))</f>
        <v/>
      </c>
      <c r="E190" s="16" t="str">
        <f>IF(IFERROR(HLOOKUP(E$2,$M$2:$BL190,$J190,FALSE),"")="","",IFERROR(HLOOKUP(E$2,$M$2:$BL190,$J190,FALSE),""))</f>
        <v/>
      </c>
      <c r="F190" s="16" t="str">
        <f>IF(IFERROR(HLOOKUP(F$2,$M$2:$BL190,$J190,FALSE),"")="","",IFERROR(HLOOKUP(F$2,$M$2:$BL190,$J190,FALSE),""))</f>
        <v/>
      </c>
      <c r="G190" s="16" t="str">
        <f>IF(IFERROR(HLOOKUP(G$2,$M$2:$BL190,$J190,FALSE),"")="","",IFERROR(HLOOKUP(G$2,$M$2:$BL190,$J190,FALSE),""))</f>
        <v/>
      </c>
      <c r="J190" s="16">
        <f t="shared" si="17"/>
        <v>189</v>
      </c>
      <c r="U190" s="16" t="s">
        <v>202</v>
      </c>
    </row>
    <row r="191" spans="1:25">
      <c r="A191" s="16" t="str">
        <f t="shared" si="19"/>
        <v>BBB</v>
      </c>
      <c r="B191" s="16" t="str">
        <f>IF(IFERROR(HLOOKUP(B$2,$M$2:$BL191,$J191,FALSE),"")="","",IFERROR(HLOOKUP(B$2,$M$2:$BL191,$J191,FALSE),""))</f>
        <v/>
      </c>
      <c r="C191" s="16" t="str">
        <f>IF(IFERROR(HLOOKUP(C$2,$M$2:$BL191,$J191,FALSE),"")="","",IFERROR(HLOOKUP(C$2,$M$2:$BL191,$J191,FALSE),""))</f>
        <v/>
      </c>
      <c r="D191" s="16" t="str">
        <f>IF(IFERROR(HLOOKUP(D$2,$M$2:$BL191,$J191,FALSE),"")="","",IFERROR(HLOOKUP(D$2,$M$2:$BL191,$J191,FALSE),""))</f>
        <v/>
      </c>
      <c r="E191" s="16" t="str">
        <f>IF(IFERROR(HLOOKUP(E$2,$M$2:$BL191,$J191,FALSE),"")="","",IFERROR(HLOOKUP(E$2,$M$2:$BL191,$J191,FALSE),""))</f>
        <v/>
      </c>
      <c r="F191" s="16" t="str">
        <f>IF(IFERROR(HLOOKUP(F$2,$M$2:$BL191,$J191,FALSE),"")="","",IFERROR(HLOOKUP(F$2,$M$2:$BL191,$J191,FALSE),""))</f>
        <v/>
      </c>
      <c r="G191" s="16" t="str">
        <f>IF(IFERROR(HLOOKUP(G$2,$M$2:$BL191,$J191,FALSE),"")="","",IFERROR(HLOOKUP(G$2,$M$2:$BL191,$J191,FALSE),""))</f>
        <v/>
      </c>
      <c r="J191" s="16">
        <f t="shared" si="17"/>
        <v>190</v>
      </c>
      <c r="U191" s="16" t="s">
        <v>873</v>
      </c>
    </row>
    <row r="192" spans="1:25">
      <c r="A192" s="16" t="str">
        <f t="shared" si="19"/>
        <v>BB</v>
      </c>
      <c r="B192" s="16" t="str">
        <f>IF(IFERROR(HLOOKUP(B$2,$M$2:$BL192,$J192,FALSE),"")="","",IFERROR(HLOOKUP(B$2,$M$2:$BL192,$J192,FALSE),""))</f>
        <v/>
      </c>
      <c r="C192" s="16" t="str">
        <f>IF(IFERROR(HLOOKUP(C$2,$M$2:$BL192,$J192,FALSE),"")="","",IFERROR(HLOOKUP(C$2,$M$2:$BL192,$J192,FALSE),""))</f>
        <v/>
      </c>
      <c r="D192" s="16" t="str">
        <f>IF(IFERROR(HLOOKUP(D$2,$M$2:$BL192,$J192,FALSE),"")="","",IFERROR(HLOOKUP(D$2,$M$2:$BL192,$J192,FALSE),""))</f>
        <v/>
      </c>
      <c r="E192" s="16" t="str">
        <f>IF(IFERROR(HLOOKUP(E$2,$M$2:$BL192,$J192,FALSE),"")="","",IFERROR(HLOOKUP(E$2,$M$2:$BL192,$J192,FALSE),""))</f>
        <v/>
      </c>
      <c r="F192" s="16" t="str">
        <f>IF(IFERROR(HLOOKUP(F$2,$M$2:$BL192,$J192,FALSE),"")="","",IFERROR(HLOOKUP(F$2,$M$2:$BL192,$J192,FALSE),""))</f>
        <v/>
      </c>
      <c r="G192" s="16" t="str">
        <f>IF(IFERROR(HLOOKUP(G$2,$M$2:$BL192,$J192,FALSE),"")="","",IFERROR(HLOOKUP(G$2,$M$2:$BL192,$J192,FALSE),""))</f>
        <v/>
      </c>
      <c r="J192" s="16">
        <f t="shared" si="17"/>
        <v>191</v>
      </c>
      <c r="U192" s="16" t="s">
        <v>874</v>
      </c>
    </row>
    <row r="193" spans="1:21">
      <c r="A193" s="16" t="str">
        <f t="shared" si="19"/>
        <v>B</v>
      </c>
      <c r="B193" s="16" t="str">
        <f>IF(IFERROR(HLOOKUP(B$2,$M$2:$BL193,$J193,FALSE),"")="","",IFERROR(HLOOKUP(B$2,$M$2:$BL193,$J193,FALSE),""))</f>
        <v/>
      </c>
      <c r="C193" s="16" t="str">
        <f>IF(IFERROR(HLOOKUP(C$2,$M$2:$BL193,$J193,FALSE),"")="","",IFERROR(HLOOKUP(C$2,$M$2:$BL193,$J193,FALSE),""))</f>
        <v/>
      </c>
      <c r="D193" s="16" t="str">
        <f>IF(IFERROR(HLOOKUP(D$2,$M$2:$BL193,$J193,FALSE),"")="","",IFERROR(HLOOKUP(D$2,$M$2:$BL193,$J193,FALSE),""))</f>
        <v/>
      </c>
      <c r="E193" s="16" t="str">
        <f>IF(IFERROR(HLOOKUP(E$2,$M$2:$BL193,$J193,FALSE),"")="","",IFERROR(HLOOKUP(E$2,$M$2:$BL193,$J193,FALSE),""))</f>
        <v/>
      </c>
      <c r="F193" s="16" t="str">
        <f>IF(IFERROR(HLOOKUP(F$2,$M$2:$BL193,$J193,FALSE),"")="","",IFERROR(HLOOKUP(F$2,$M$2:$BL193,$J193,FALSE),""))</f>
        <v/>
      </c>
      <c r="G193" s="16" t="str">
        <f>IF(IFERROR(HLOOKUP(G$2,$M$2:$BL193,$J193,FALSE),"")="","",IFERROR(HLOOKUP(G$2,$M$2:$BL193,$J193,FALSE),""))</f>
        <v/>
      </c>
      <c r="J193" s="16">
        <f t="shared" si="17"/>
        <v>192</v>
      </c>
      <c r="U193" s="16" t="s">
        <v>875</v>
      </c>
    </row>
    <row r="194" spans="1:21">
      <c r="A194" s="16" t="str">
        <f t="shared" si="19"/>
        <v>CCC and below</v>
      </c>
      <c r="B194" s="16" t="str">
        <f>IF(IFERROR(HLOOKUP(B$2,$M$2:$BL194,$J194,FALSE),"")="","",IFERROR(HLOOKUP(B$2,$M$2:$BL194,$J194,FALSE),""))</f>
        <v/>
      </c>
      <c r="C194" s="16" t="str">
        <f>IF(IFERROR(HLOOKUP(C$2,$M$2:$BL194,$J194,FALSE),"")="","",IFERROR(HLOOKUP(C$2,$M$2:$BL194,$J194,FALSE),""))</f>
        <v/>
      </c>
      <c r="D194" s="16" t="str">
        <f>IF(IFERROR(HLOOKUP(D$2,$M$2:$BL194,$J194,FALSE),"")="","",IFERROR(HLOOKUP(D$2,$M$2:$BL194,$J194,FALSE),""))</f>
        <v/>
      </c>
      <c r="E194" s="16" t="str">
        <f>IF(IFERROR(HLOOKUP(E$2,$M$2:$BL194,$J194,FALSE),"")="","",IFERROR(HLOOKUP(E$2,$M$2:$BL194,$J194,FALSE),""))</f>
        <v/>
      </c>
      <c r="F194" s="16" t="str">
        <f>IF(IFERROR(HLOOKUP(F$2,$M$2:$BL194,$J194,FALSE),"")="","",IFERROR(HLOOKUP(F$2,$M$2:$BL194,$J194,FALSE),""))</f>
        <v/>
      </c>
      <c r="G194" s="16" t="str">
        <f>IF(IFERROR(HLOOKUP(G$2,$M$2:$BL194,$J194,FALSE),"")="","",IFERROR(HLOOKUP(G$2,$M$2:$BL194,$J194,FALSE),""))</f>
        <v/>
      </c>
      <c r="J194" s="16">
        <f t="shared" si="17"/>
        <v>193</v>
      </c>
      <c r="U194" s="16" t="s">
        <v>103</v>
      </c>
    </row>
    <row r="195" spans="1:21" s="19" customFormat="1">
      <c r="A195" s="22" t="str">
        <f t="shared" si="19"/>
        <v>Factor 3</v>
      </c>
      <c r="B195" s="19" t="str">
        <f>IF(IFERROR(HLOOKUP(B$2,$M$2:$BL195,$J195,FALSE),"")="","",IFERROR(HLOOKUP(B$2,$M$2:$BL195,$J195,FALSE),""))</f>
        <v/>
      </c>
      <c r="C195" s="22" t="str">
        <f>IF(IFERROR(HLOOKUP(C$2,$M$2:$BL195,$J195,FALSE),"")="","",IFERROR(HLOOKUP(C$2,$M$2:$BL195,$J195,FALSE),""))</f>
        <v/>
      </c>
      <c r="D195" s="22" t="str">
        <f>IF(IFERROR(HLOOKUP(D$2,$M$2:$BL195,$J195,FALSE),"")="","",IFERROR(HLOOKUP(D$2,$M$2:$BL195,$J195,FALSE),""))</f>
        <v/>
      </c>
      <c r="E195" s="22" t="str">
        <f>IF(IFERROR(HLOOKUP(E$2,$M$2:$BL195,$J195,FALSE),"")="","",IFERROR(HLOOKUP(E$2,$M$2:$BL195,$J195,FALSE),""))</f>
        <v/>
      </c>
      <c r="F195" s="22" t="str">
        <f>IF(IFERROR(HLOOKUP(F$2,$M$2:$BL195,$J195,FALSE),"")="","",IFERROR(HLOOKUP(F$2,$M$2:$BL195,$J195,FALSE),""))</f>
        <v/>
      </c>
      <c r="G195" s="22" t="str">
        <f>IF(IFERROR(HLOOKUP(G$2,$M$2:$BL195,$J195,FALSE),"")="","",IFERROR(HLOOKUP(G$2,$M$2:$BL195,$J195,FALSE),""))</f>
        <v/>
      </c>
      <c r="H195" s="22"/>
      <c r="J195" s="19">
        <f t="shared" ref="J195:J215" si="20">+J194+1</f>
        <v>194</v>
      </c>
      <c r="U195" s="19" t="s">
        <v>876</v>
      </c>
    </row>
    <row r="196" spans="1:21">
      <c r="A196" s="16" t="str">
        <f t="shared" si="19"/>
        <v>AA and above</v>
      </c>
      <c r="B196" s="16" t="str">
        <f>IF(IFERROR(HLOOKUP(B$2,$M$2:$BL196,$J196,FALSE),"")="","",IFERROR(HLOOKUP(B$2,$M$2:$BL196,$J196,FALSE),""))</f>
        <v/>
      </c>
      <c r="C196" s="16" t="str">
        <f>IF(IFERROR(HLOOKUP(C$2,$M$2:$BL196,$J196,FALSE),"")="","",IFERROR(HLOOKUP(C$2,$M$2:$BL196,$J196,FALSE),""))</f>
        <v/>
      </c>
      <c r="D196" s="16" t="str">
        <f>IF(IFERROR(HLOOKUP(D$2,$M$2:$BL196,$J196,FALSE),"")="","",IFERROR(HLOOKUP(D$2,$M$2:$BL196,$J196,FALSE),""))</f>
        <v/>
      </c>
      <c r="E196" s="16" t="str">
        <f>IF(IFERROR(HLOOKUP(E$2,$M$2:$BL196,$J196,FALSE),"")="","",IFERROR(HLOOKUP(E$2,$M$2:$BL196,$J196,FALSE),""))</f>
        <v/>
      </c>
      <c r="F196" s="16" t="str">
        <f>IF(IFERROR(HLOOKUP(F$2,$M$2:$BL196,$J196,FALSE),"")="","",IFERROR(HLOOKUP(F$2,$M$2:$BL196,$J196,FALSE),""))</f>
        <v/>
      </c>
      <c r="G196" s="16" t="str">
        <f>IF(IFERROR(HLOOKUP(G$2,$M$2:$BL196,$J196,FALSE),"")="","",IFERROR(HLOOKUP(G$2,$M$2:$BL196,$J196,FALSE),""))</f>
        <v/>
      </c>
      <c r="J196" s="16">
        <f t="shared" si="20"/>
        <v>195</v>
      </c>
      <c r="U196" s="16" t="s">
        <v>224</v>
      </c>
    </row>
    <row r="197" spans="1:21">
      <c r="A197" s="16" t="str">
        <f t="shared" si="19"/>
        <v>A</v>
      </c>
      <c r="B197" s="16" t="str">
        <f>IF(IFERROR(HLOOKUP(B$2,$M$2:$BL197,$J197,FALSE),"")="","",IFERROR(HLOOKUP(B$2,$M$2:$BL197,$J197,FALSE),""))</f>
        <v/>
      </c>
      <c r="C197" s="16" t="str">
        <f>IF(IFERROR(HLOOKUP(C$2,$M$2:$BL197,$J197,FALSE),"")="","",IFERROR(HLOOKUP(C$2,$M$2:$BL197,$J197,FALSE),""))</f>
        <v/>
      </c>
      <c r="D197" s="16" t="str">
        <f>IF(IFERROR(HLOOKUP(D$2,$M$2:$BL197,$J197,FALSE),"")="","",IFERROR(HLOOKUP(D$2,$M$2:$BL197,$J197,FALSE),""))</f>
        <v/>
      </c>
      <c r="E197" s="16" t="str">
        <f>IF(IFERROR(HLOOKUP(E$2,$M$2:$BL197,$J197,FALSE),"")="","",IFERROR(HLOOKUP(E$2,$M$2:$BL197,$J197,FALSE),""))</f>
        <v/>
      </c>
      <c r="F197" s="16" t="str">
        <f>IF(IFERROR(HLOOKUP(F$2,$M$2:$BL197,$J197,FALSE),"")="","",IFERROR(HLOOKUP(F$2,$M$2:$BL197,$J197,FALSE),""))</f>
        <v/>
      </c>
      <c r="G197" s="16" t="str">
        <f>IF(IFERROR(HLOOKUP(G$2,$M$2:$BL197,$J197,FALSE),"")="","",IFERROR(HLOOKUP(G$2,$M$2:$BL197,$J197,FALSE),""))</f>
        <v/>
      </c>
      <c r="J197" s="16">
        <f t="shared" si="20"/>
        <v>196</v>
      </c>
      <c r="U197" s="16" t="s">
        <v>202</v>
      </c>
    </row>
    <row r="198" spans="1:21">
      <c r="A198" s="16" t="str">
        <f t="shared" si="19"/>
        <v>BBB</v>
      </c>
      <c r="B198" s="16" t="str">
        <f>IF(IFERROR(HLOOKUP(B$2,$M$2:$BL198,$J198,FALSE),"")="","",IFERROR(HLOOKUP(B$2,$M$2:$BL198,$J198,FALSE),""))</f>
        <v/>
      </c>
      <c r="C198" s="16" t="str">
        <f>IF(IFERROR(HLOOKUP(C$2,$M$2:$BL198,$J198,FALSE),"")="","",IFERROR(HLOOKUP(C$2,$M$2:$BL198,$J198,FALSE),""))</f>
        <v/>
      </c>
      <c r="D198" s="16" t="str">
        <f>IF(IFERROR(HLOOKUP(D$2,$M$2:$BL198,$J198,FALSE),"")="","",IFERROR(HLOOKUP(D$2,$M$2:$BL198,$J198,FALSE),""))</f>
        <v/>
      </c>
      <c r="E198" s="16" t="str">
        <f>IF(IFERROR(HLOOKUP(E$2,$M$2:$BL198,$J198,FALSE),"")="","",IFERROR(HLOOKUP(E$2,$M$2:$BL198,$J198,FALSE),""))</f>
        <v/>
      </c>
      <c r="F198" s="16" t="str">
        <f>IF(IFERROR(HLOOKUP(F$2,$M$2:$BL198,$J198,FALSE),"")="","",IFERROR(HLOOKUP(F$2,$M$2:$BL198,$J198,FALSE),""))</f>
        <v/>
      </c>
      <c r="G198" s="16" t="str">
        <f>IF(IFERROR(HLOOKUP(G$2,$M$2:$BL198,$J198,FALSE),"")="","",IFERROR(HLOOKUP(G$2,$M$2:$BL198,$J198,FALSE),""))</f>
        <v/>
      </c>
      <c r="J198" s="16">
        <f t="shared" si="20"/>
        <v>197</v>
      </c>
      <c r="U198" s="16" t="s">
        <v>419</v>
      </c>
    </row>
    <row r="199" spans="1:21">
      <c r="A199" s="16" t="str">
        <f t="shared" si="19"/>
        <v>BB</v>
      </c>
      <c r="B199" s="16" t="str">
        <f>IF(IFERROR(HLOOKUP(B$2,$M$2:$BL199,$J199,FALSE),"")="","",IFERROR(HLOOKUP(B$2,$M$2:$BL199,$J199,FALSE),""))</f>
        <v/>
      </c>
      <c r="C199" s="16" t="str">
        <f>IF(IFERROR(HLOOKUP(C$2,$M$2:$BL199,$J199,FALSE),"")="","",IFERROR(HLOOKUP(C$2,$M$2:$BL199,$J199,FALSE),""))</f>
        <v/>
      </c>
      <c r="D199" s="16" t="str">
        <f>IF(IFERROR(HLOOKUP(D$2,$M$2:$BL199,$J199,FALSE),"")="","",IFERROR(HLOOKUP(D$2,$M$2:$BL199,$J199,FALSE),""))</f>
        <v/>
      </c>
      <c r="E199" s="16" t="str">
        <f>IF(IFERROR(HLOOKUP(E$2,$M$2:$BL199,$J199,FALSE),"")="","",IFERROR(HLOOKUP(E$2,$M$2:$BL199,$J199,FALSE),""))</f>
        <v/>
      </c>
      <c r="F199" s="16" t="str">
        <f>IF(IFERROR(HLOOKUP(F$2,$M$2:$BL199,$J199,FALSE),"")="","",IFERROR(HLOOKUP(F$2,$M$2:$BL199,$J199,FALSE),""))</f>
        <v/>
      </c>
      <c r="G199" s="16" t="str">
        <f>IF(IFERROR(HLOOKUP(G$2,$M$2:$BL199,$J199,FALSE),"")="","",IFERROR(HLOOKUP(G$2,$M$2:$BL199,$J199,FALSE),""))</f>
        <v/>
      </c>
      <c r="J199" s="16">
        <f t="shared" si="20"/>
        <v>198</v>
      </c>
      <c r="U199" s="16" t="s">
        <v>429</v>
      </c>
    </row>
    <row r="200" spans="1:21">
      <c r="A200" s="16" t="str">
        <f t="shared" si="19"/>
        <v>B</v>
      </c>
      <c r="B200" s="16" t="str">
        <f>IF(IFERROR(HLOOKUP(B$2,$M$2:$BL200,$J200,FALSE),"")="","",IFERROR(HLOOKUP(B$2,$M$2:$BL200,$J200,FALSE),""))</f>
        <v/>
      </c>
      <c r="C200" s="16" t="str">
        <f>IF(IFERROR(HLOOKUP(C$2,$M$2:$BL200,$J200,FALSE),"")="","",IFERROR(HLOOKUP(C$2,$M$2:$BL200,$J200,FALSE),""))</f>
        <v/>
      </c>
      <c r="D200" s="16" t="str">
        <f>IF(IFERROR(HLOOKUP(D$2,$M$2:$BL200,$J200,FALSE),"")="","",IFERROR(HLOOKUP(D$2,$M$2:$BL200,$J200,FALSE),""))</f>
        <v/>
      </c>
      <c r="E200" s="16" t="str">
        <f>IF(IFERROR(HLOOKUP(E$2,$M$2:$BL200,$J200,FALSE),"")="","",IFERROR(HLOOKUP(E$2,$M$2:$BL200,$J200,FALSE),""))</f>
        <v/>
      </c>
      <c r="F200" s="16" t="str">
        <f>IF(IFERROR(HLOOKUP(F$2,$M$2:$BL200,$J200,FALSE),"")="","",IFERROR(HLOOKUP(F$2,$M$2:$BL200,$J200,FALSE),""))</f>
        <v/>
      </c>
      <c r="G200" s="16" t="str">
        <f>IF(IFERROR(HLOOKUP(G$2,$M$2:$BL200,$J200,FALSE),"")="","",IFERROR(HLOOKUP(G$2,$M$2:$BL200,$J200,FALSE),""))</f>
        <v/>
      </c>
      <c r="J200" s="16">
        <f t="shared" si="20"/>
        <v>199</v>
      </c>
      <c r="U200" s="16" t="s">
        <v>835</v>
      </c>
    </row>
    <row r="201" spans="1:21">
      <c r="A201" s="16" t="str">
        <f t="shared" si="19"/>
        <v>CCC and below</v>
      </c>
      <c r="B201" s="16" t="str">
        <f>IF(IFERROR(HLOOKUP(B$2,$M$2:$BL201,$J201,FALSE),"")="","",IFERROR(HLOOKUP(B$2,$M$2:$BL201,$J201,FALSE),""))</f>
        <v/>
      </c>
      <c r="C201" s="16" t="str">
        <f>IF(IFERROR(HLOOKUP(C$2,$M$2:$BL201,$J201,FALSE),"")="","",IFERROR(HLOOKUP(C$2,$M$2:$BL201,$J201,FALSE),""))</f>
        <v/>
      </c>
      <c r="D201" s="16" t="str">
        <f>IF(IFERROR(HLOOKUP(D$2,$M$2:$BL201,$J201,FALSE),"")="","",IFERROR(HLOOKUP(D$2,$M$2:$BL201,$J201,FALSE),""))</f>
        <v/>
      </c>
      <c r="E201" s="16" t="str">
        <f>IF(IFERROR(HLOOKUP(E$2,$M$2:$BL201,$J201,FALSE),"")="","",IFERROR(HLOOKUP(E$2,$M$2:$BL201,$J201,FALSE),""))</f>
        <v/>
      </c>
      <c r="F201" s="16" t="str">
        <f>IF(IFERROR(HLOOKUP(F$2,$M$2:$BL201,$J201,FALSE),"")="","",IFERROR(HLOOKUP(F$2,$M$2:$BL201,$J201,FALSE),""))</f>
        <v/>
      </c>
      <c r="G201" s="16" t="str">
        <f>IF(IFERROR(HLOOKUP(G$2,$M$2:$BL201,$J201,FALSE),"")="","",IFERROR(HLOOKUP(G$2,$M$2:$BL201,$J201,FALSE),""))</f>
        <v/>
      </c>
      <c r="J201" s="16">
        <f t="shared" si="20"/>
        <v>200</v>
      </c>
      <c r="U201" s="16" t="s">
        <v>103</v>
      </c>
    </row>
    <row r="202" spans="1:21" s="19" customFormat="1">
      <c r="A202" s="22" t="str">
        <f t="shared" si="19"/>
        <v>Factor 4</v>
      </c>
      <c r="B202" s="19" t="str">
        <f>IF(IFERROR(HLOOKUP(B$2,$M$2:$BL202,$J202,FALSE),"")="","",IFERROR(HLOOKUP(B$2,$M$2:$BL202,$J202,FALSE),""))</f>
        <v/>
      </c>
      <c r="C202" s="22" t="str">
        <f>IF(IFERROR(HLOOKUP(C$2,$M$2:$BL202,$J202,FALSE),"")="","",IFERROR(HLOOKUP(C$2,$M$2:$BL202,$J202,FALSE),""))</f>
        <v/>
      </c>
      <c r="D202" s="22" t="str">
        <f>IF(IFERROR(HLOOKUP(D$2,$M$2:$BL202,$J202,FALSE),"")="","",IFERROR(HLOOKUP(D$2,$M$2:$BL202,$J202,FALSE),""))</f>
        <v/>
      </c>
      <c r="E202" s="22" t="str">
        <f>IF(IFERROR(HLOOKUP(E$2,$M$2:$BL202,$J202,FALSE),"")="","",IFERROR(HLOOKUP(E$2,$M$2:$BL202,$J202,FALSE),""))</f>
        <v/>
      </c>
      <c r="F202" s="22" t="str">
        <f>IF(IFERROR(HLOOKUP(F$2,$M$2:$BL202,$J202,FALSE),"")="","",IFERROR(HLOOKUP(F$2,$M$2:$BL202,$J202,FALSE),""))</f>
        <v/>
      </c>
      <c r="G202" s="22" t="str">
        <f>IF(IFERROR(HLOOKUP(G$2,$M$2:$BL202,$J202,FALSE),"")="","",IFERROR(HLOOKUP(G$2,$M$2:$BL202,$J202,FALSE),""))</f>
        <v/>
      </c>
      <c r="H202" s="22"/>
      <c r="J202" s="19">
        <f t="shared" si="20"/>
        <v>201</v>
      </c>
      <c r="U202" s="19" t="s">
        <v>877</v>
      </c>
    </row>
    <row r="203" spans="1:21">
      <c r="A203" s="16" t="str">
        <f t="shared" si="19"/>
        <v>AA and above</v>
      </c>
      <c r="B203" s="16" t="str">
        <f>IF(IFERROR(HLOOKUP(B$2,$M$2:$BL203,$J203,FALSE),"")="","",IFERROR(HLOOKUP(B$2,$M$2:$BL203,$J203,FALSE),""))</f>
        <v/>
      </c>
      <c r="C203" s="16" t="str">
        <f>IF(IFERROR(HLOOKUP(C$2,$M$2:$BL203,$J203,FALSE),"")="","",IFERROR(HLOOKUP(C$2,$M$2:$BL203,$J203,FALSE),""))</f>
        <v/>
      </c>
      <c r="D203" s="16" t="str">
        <f>IF(IFERROR(HLOOKUP(D$2,$M$2:$BL203,$J203,FALSE),"")="","",IFERROR(HLOOKUP(D$2,$M$2:$BL203,$J203,FALSE),""))</f>
        <v/>
      </c>
      <c r="E203" s="16" t="str">
        <f>IF(IFERROR(HLOOKUP(E$2,$M$2:$BL203,$J203,FALSE),"")="","",IFERROR(HLOOKUP(E$2,$M$2:$BL203,$J203,FALSE),""))</f>
        <v/>
      </c>
      <c r="F203" s="16" t="str">
        <f>IF(IFERROR(HLOOKUP(F$2,$M$2:$BL203,$J203,FALSE),"")="","",IFERROR(HLOOKUP(F$2,$M$2:$BL203,$J203,FALSE),""))</f>
        <v/>
      </c>
      <c r="G203" s="16" t="str">
        <f>IF(IFERROR(HLOOKUP(G$2,$M$2:$BL203,$J203,FALSE),"")="","",IFERROR(HLOOKUP(G$2,$M$2:$BL203,$J203,FALSE),""))</f>
        <v/>
      </c>
      <c r="J203" s="16">
        <f t="shared" si="20"/>
        <v>202</v>
      </c>
      <c r="U203" s="16" t="s">
        <v>412</v>
      </c>
    </row>
    <row r="204" spans="1:21">
      <c r="A204" s="16" t="str">
        <f t="shared" si="19"/>
        <v>A</v>
      </c>
      <c r="B204" s="16" t="str">
        <f>IF(IFERROR(HLOOKUP(B$2,$M$2:$BL204,$J204,FALSE),"")="","",IFERROR(HLOOKUP(B$2,$M$2:$BL204,$J204,FALSE),""))</f>
        <v/>
      </c>
      <c r="C204" s="16" t="str">
        <f>IF(IFERROR(HLOOKUP(C$2,$M$2:$BL204,$J204,FALSE),"")="","",IFERROR(HLOOKUP(C$2,$M$2:$BL204,$J204,FALSE),""))</f>
        <v/>
      </c>
      <c r="D204" s="16" t="str">
        <f>IF(IFERROR(HLOOKUP(D$2,$M$2:$BL204,$J204,FALSE),"")="","",IFERROR(HLOOKUP(D$2,$M$2:$BL204,$J204,FALSE),""))</f>
        <v/>
      </c>
      <c r="E204" s="16" t="str">
        <f>IF(IFERROR(HLOOKUP(E$2,$M$2:$BL204,$J204,FALSE),"")="","",IFERROR(HLOOKUP(E$2,$M$2:$BL204,$J204,FALSE),""))</f>
        <v/>
      </c>
      <c r="F204" s="16" t="str">
        <f>IF(IFERROR(HLOOKUP(F$2,$M$2:$BL204,$J204,FALSE),"")="","",IFERROR(HLOOKUP(F$2,$M$2:$BL204,$J204,FALSE),""))</f>
        <v/>
      </c>
      <c r="G204" s="16" t="str">
        <f>IF(IFERROR(HLOOKUP(G$2,$M$2:$BL204,$J204,FALSE),"")="","",IFERROR(HLOOKUP(G$2,$M$2:$BL204,$J204,FALSE),""))</f>
        <v/>
      </c>
      <c r="J204" s="16">
        <f t="shared" si="20"/>
        <v>203</v>
      </c>
      <c r="U204" s="16" t="s">
        <v>878</v>
      </c>
    </row>
    <row r="205" spans="1:21">
      <c r="A205" s="16" t="str">
        <f t="shared" si="19"/>
        <v>BBB</v>
      </c>
      <c r="B205" s="16" t="str">
        <f>IF(IFERROR(HLOOKUP(B$2,$M$2:$BL205,$J205,FALSE),"")="","",IFERROR(HLOOKUP(B$2,$M$2:$BL205,$J205,FALSE),""))</f>
        <v/>
      </c>
      <c r="C205" s="16" t="str">
        <f>IF(IFERROR(HLOOKUP(C$2,$M$2:$BL205,$J205,FALSE),"")="","",IFERROR(HLOOKUP(C$2,$M$2:$BL205,$J205,FALSE),""))</f>
        <v/>
      </c>
      <c r="D205" s="16" t="str">
        <f>IF(IFERROR(HLOOKUP(D$2,$M$2:$BL205,$J205,FALSE),"")="","",IFERROR(HLOOKUP(D$2,$M$2:$BL205,$J205,FALSE),""))</f>
        <v/>
      </c>
      <c r="E205" s="16" t="str">
        <f>IF(IFERROR(HLOOKUP(E$2,$M$2:$BL205,$J205,FALSE),"")="","",IFERROR(HLOOKUP(E$2,$M$2:$BL205,$J205,FALSE),""))</f>
        <v/>
      </c>
      <c r="F205" s="16" t="str">
        <f>IF(IFERROR(HLOOKUP(F$2,$M$2:$BL205,$J205,FALSE),"")="","",IFERROR(HLOOKUP(F$2,$M$2:$BL205,$J205,FALSE),""))</f>
        <v/>
      </c>
      <c r="G205" s="16" t="str">
        <f>IF(IFERROR(HLOOKUP(G$2,$M$2:$BL205,$J205,FALSE),"")="","",IFERROR(HLOOKUP(G$2,$M$2:$BL205,$J205,FALSE),""))</f>
        <v/>
      </c>
      <c r="J205" s="16">
        <f t="shared" si="20"/>
        <v>204</v>
      </c>
      <c r="U205" s="16" t="s">
        <v>879</v>
      </c>
    </row>
    <row r="206" spans="1:21">
      <c r="A206" s="16" t="str">
        <f t="shared" si="19"/>
        <v>BB</v>
      </c>
      <c r="B206" s="16" t="str">
        <f>IF(IFERROR(HLOOKUP(B$2,$M$2:$BL206,$J206,FALSE),"")="","",IFERROR(HLOOKUP(B$2,$M$2:$BL206,$J206,FALSE),""))</f>
        <v/>
      </c>
      <c r="C206" s="16" t="str">
        <f>IF(IFERROR(HLOOKUP(C$2,$M$2:$BL206,$J206,FALSE),"")="","",IFERROR(HLOOKUP(C$2,$M$2:$BL206,$J206,FALSE),""))</f>
        <v/>
      </c>
      <c r="D206" s="16" t="str">
        <f>IF(IFERROR(HLOOKUP(D$2,$M$2:$BL206,$J206,FALSE),"")="","",IFERROR(HLOOKUP(D$2,$M$2:$BL206,$J206,FALSE),""))</f>
        <v/>
      </c>
      <c r="E206" s="16" t="str">
        <f>IF(IFERROR(HLOOKUP(E$2,$M$2:$BL206,$J206,FALSE),"")="","",IFERROR(HLOOKUP(E$2,$M$2:$BL206,$J206,FALSE),""))</f>
        <v/>
      </c>
      <c r="F206" s="16" t="str">
        <f>IF(IFERROR(HLOOKUP(F$2,$M$2:$BL206,$J206,FALSE),"")="","",IFERROR(HLOOKUP(F$2,$M$2:$BL206,$J206,FALSE),""))</f>
        <v/>
      </c>
      <c r="G206" s="16" t="str">
        <f>IF(IFERROR(HLOOKUP(G$2,$M$2:$BL206,$J206,FALSE),"")="","",IFERROR(HLOOKUP(G$2,$M$2:$BL206,$J206,FALSE),""))</f>
        <v/>
      </c>
      <c r="J206" s="16">
        <f t="shared" si="20"/>
        <v>205</v>
      </c>
      <c r="U206" s="16" t="s">
        <v>849</v>
      </c>
    </row>
    <row r="207" spans="1:21">
      <c r="A207" s="16" t="str">
        <f t="shared" si="19"/>
        <v>B</v>
      </c>
      <c r="B207" s="16" t="str">
        <f>IF(IFERROR(HLOOKUP(B$2,$M$2:$BL207,$J207,FALSE),"")="","",IFERROR(HLOOKUP(B$2,$M$2:$BL207,$J207,FALSE),""))</f>
        <v/>
      </c>
      <c r="C207" s="16" t="str">
        <f>IF(IFERROR(HLOOKUP(C$2,$M$2:$BL207,$J207,FALSE),"")="","",IFERROR(HLOOKUP(C$2,$M$2:$BL207,$J207,FALSE),""))</f>
        <v/>
      </c>
      <c r="D207" s="16" t="str">
        <f>IF(IFERROR(HLOOKUP(D$2,$M$2:$BL207,$J207,FALSE),"")="","",IFERROR(HLOOKUP(D$2,$M$2:$BL207,$J207,FALSE),""))</f>
        <v/>
      </c>
      <c r="E207" s="16" t="str">
        <f>IF(IFERROR(HLOOKUP(E$2,$M$2:$BL207,$J207,FALSE),"")="","",IFERROR(HLOOKUP(E$2,$M$2:$BL207,$J207,FALSE),""))</f>
        <v/>
      </c>
      <c r="F207" s="16" t="str">
        <f>IF(IFERROR(HLOOKUP(F$2,$M$2:$BL207,$J207,FALSE),"")="","",IFERROR(HLOOKUP(F$2,$M$2:$BL207,$J207,FALSE),""))</f>
        <v/>
      </c>
      <c r="G207" s="16" t="str">
        <f>IF(IFERROR(HLOOKUP(G$2,$M$2:$BL207,$J207,FALSE),"")="","",IFERROR(HLOOKUP(G$2,$M$2:$BL207,$J207,FALSE),""))</f>
        <v/>
      </c>
      <c r="J207" s="16">
        <f t="shared" si="20"/>
        <v>206</v>
      </c>
      <c r="U207" s="16" t="s">
        <v>548</v>
      </c>
    </row>
    <row r="208" spans="1:21">
      <c r="A208" s="16" t="str">
        <f t="shared" si="19"/>
        <v>CCC and below</v>
      </c>
      <c r="B208" s="16" t="str">
        <f>IF(IFERROR(HLOOKUP(B$2,$M$2:$BL208,$J208,FALSE),"")="","",IFERROR(HLOOKUP(B$2,$M$2:$BL208,$J208,FALSE),""))</f>
        <v/>
      </c>
      <c r="C208" s="16" t="str">
        <f>IF(IFERROR(HLOOKUP(C$2,$M$2:$BL208,$J208,FALSE),"")="","",IFERROR(HLOOKUP(C$2,$M$2:$BL208,$J208,FALSE),""))</f>
        <v/>
      </c>
      <c r="D208" s="16" t="str">
        <f>IF(IFERROR(HLOOKUP(D$2,$M$2:$BL208,$J208,FALSE),"")="","",IFERROR(HLOOKUP(D$2,$M$2:$BL208,$J208,FALSE),""))</f>
        <v/>
      </c>
      <c r="E208" s="16" t="str">
        <f>IF(IFERROR(HLOOKUP(E$2,$M$2:$BL208,$J208,FALSE),"")="","",IFERROR(HLOOKUP(E$2,$M$2:$BL208,$J208,FALSE),""))</f>
        <v/>
      </c>
      <c r="F208" s="16" t="str">
        <f>IF(IFERROR(HLOOKUP(F$2,$M$2:$BL208,$J208,FALSE),"")="","",IFERROR(HLOOKUP(F$2,$M$2:$BL208,$J208,FALSE),""))</f>
        <v/>
      </c>
      <c r="G208" s="16" t="str">
        <f>IF(IFERROR(HLOOKUP(G$2,$M$2:$BL208,$J208,FALSE),"")="","",IFERROR(HLOOKUP(G$2,$M$2:$BL208,$J208,FALSE),""))</f>
        <v/>
      </c>
      <c r="J208" s="16">
        <f t="shared" si="20"/>
        <v>207</v>
      </c>
      <c r="U208" s="16" t="s">
        <v>103</v>
      </c>
    </row>
    <row r="209" spans="1:21" s="19" customFormat="1">
      <c r="A209" s="22" t="str">
        <f t="shared" si="19"/>
        <v>Factor 5</v>
      </c>
      <c r="B209" s="19" t="str">
        <f>IF(IFERROR(HLOOKUP(B$2,$M$2:$BL209,$J209,FALSE),"")="","",IFERROR(HLOOKUP(B$2,$M$2:$BL209,$J209,FALSE),""))</f>
        <v/>
      </c>
      <c r="C209" s="22" t="str">
        <f>IF(IFERROR(HLOOKUP(C$2,$M$2:$BL209,$J209,FALSE),"")="","",IFERROR(HLOOKUP(C$2,$M$2:$BL209,$J209,FALSE),""))</f>
        <v/>
      </c>
      <c r="D209" s="22" t="str">
        <f>IF(IFERROR(HLOOKUP(D$2,$M$2:$BL209,$J209,FALSE),"")="","",IFERROR(HLOOKUP(D$2,$M$2:$BL209,$J209,FALSE),""))</f>
        <v/>
      </c>
      <c r="E209" s="22" t="str">
        <f>IF(IFERROR(HLOOKUP(E$2,$M$2:$BL209,$J209,FALSE),"")="","",IFERROR(HLOOKUP(E$2,$M$2:$BL209,$J209,FALSE),""))</f>
        <v/>
      </c>
      <c r="F209" s="22" t="str">
        <f>IF(IFERROR(HLOOKUP(F$2,$M$2:$BL209,$J209,FALSE),"")="","",IFERROR(HLOOKUP(F$2,$M$2:$BL209,$J209,FALSE),""))</f>
        <v/>
      </c>
      <c r="G209" s="22" t="str">
        <f>IF(IFERROR(HLOOKUP(G$2,$M$2:$BL209,$J209,FALSE),"")="","",IFERROR(HLOOKUP(G$2,$M$2:$BL209,$J209,FALSE),""))</f>
        <v/>
      </c>
      <c r="H209" s="22"/>
      <c r="J209" s="19">
        <f t="shared" si="20"/>
        <v>208</v>
      </c>
    </row>
    <row r="210" spans="1:21">
      <c r="A210" s="16" t="str">
        <f t="shared" si="19"/>
        <v>AA and above</v>
      </c>
      <c r="B210" s="16" t="str">
        <f>IF(IFERROR(HLOOKUP(B$2,$M$2:$BL210,$J210,FALSE),"")="","",IFERROR(HLOOKUP(B$2,$M$2:$BL210,$J210,FALSE),""))</f>
        <v/>
      </c>
      <c r="C210" s="16" t="str">
        <f>IF(IFERROR(HLOOKUP(C$2,$M$2:$BL210,$J210,FALSE),"")="","",IFERROR(HLOOKUP(C$2,$M$2:$BL210,$J210,FALSE),""))</f>
        <v/>
      </c>
      <c r="D210" s="16" t="str">
        <f>IF(IFERROR(HLOOKUP(D$2,$M$2:$BL210,$J210,FALSE),"")="","",IFERROR(HLOOKUP(D$2,$M$2:$BL210,$J210,FALSE),""))</f>
        <v/>
      </c>
      <c r="E210" s="16" t="str">
        <f>IF(IFERROR(HLOOKUP(E$2,$M$2:$BL210,$J210,FALSE),"")="","",IFERROR(HLOOKUP(E$2,$M$2:$BL210,$J210,FALSE),""))</f>
        <v/>
      </c>
      <c r="F210" s="16" t="str">
        <f>IF(IFERROR(HLOOKUP(F$2,$M$2:$BL210,$J210,FALSE),"")="","",IFERROR(HLOOKUP(F$2,$M$2:$BL210,$J210,FALSE),""))</f>
        <v/>
      </c>
      <c r="G210" s="16" t="str">
        <f>IF(IFERROR(HLOOKUP(G$2,$M$2:$BL210,$J210,FALSE),"")="","",IFERROR(HLOOKUP(G$2,$M$2:$BL210,$J210,FALSE),""))</f>
        <v/>
      </c>
      <c r="J210" s="16">
        <f t="shared" si="20"/>
        <v>209</v>
      </c>
    </row>
    <row r="211" spans="1:21">
      <c r="A211" s="16" t="str">
        <f t="shared" si="19"/>
        <v>A</v>
      </c>
      <c r="B211" s="16" t="str">
        <f>IF(IFERROR(HLOOKUP(B$2,$M$2:$BL211,$J211,FALSE),"")="","",IFERROR(HLOOKUP(B$2,$M$2:$BL211,$J211,FALSE),""))</f>
        <v/>
      </c>
      <c r="C211" s="16" t="str">
        <f>IF(IFERROR(HLOOKUP(C$2,$M$2:$BL211,$J211,FALSE),"")="","",IFERROR(HLOOKUP(C$2,$M$2:$BL211,$J211,FALSE),""))</f>
        <v/>
      </c>
      <c r="D211" s="16" t="str">
        <f>IF(IFERROR(HLOOKUP(D$2,$M$2:$BL211,$J211,FALSE),"")="","",IFERROR(HLOOKUP(D$2,$M$2:$BL211,$J211,FALSE),""))</f>
        <v/>
      </c>
      <c r="E211" s="16" t="str">
        <f>IF(IFERROR(HLOOKUP(E$2,$M$2:$BL211,$J211,FALSE),"")="","",IFERROR(HLOOKUP(E$2,$M$2:$BL211,$J211,FALSE),""))</f>
        <v/>
      </c>
      <c r="F211" s="16" t="str">
        <f>IF(IFERROR(HLOOKUP(F$2,$M$2:$BL211,$J211,FALSE),"")="","",IFERROR(HLOOKUP(F$2,$M$2:$BL211,$J211,FALSE),""))</f>
        <v/>
      </c>
      <c r="G211" s="16" t="str">
        <f>IF(IFERROR(HLOOKUP(G$2,$M$2:$BL211,$J211,FALSE),"")="","",IFERROR(HLOOKUP(G$2,$M$2:$BL211,$J211,FALSE),""))</f>
        <v/>
      </c>
      <c r="J211" s="16">
        <f t="shared" si="20"/>
        <v>210</v>
      </c>
    </row>
    <row r="212" spans="1:21">
      <c r="A212" s="16" t="str">
        <f t="shared" si="19"/>
        <v>BBB</v>
      </c>
      <c r="B212" s="16" t="str">
        <f>IF(IFERROR(HLOOKUP(B$2,$M$2:$BL212,$J212,FALSE),"")="","",IFERROR(HLOOKUP(B$2,$M$2:$BL212,$J212,FALSE),""))</f>
        <v/>
      </c>
      <c r="C212" s="16" t="str">
        <f>IF(IFERROR(HLOOKUP(C$2,$M$2:$BL212,$J212,FALSE),"")="","",IFERROR(HLOOKUP(C$2,$M$2:$BL212,$J212,FALSE),""))</f>
        <v/>
      </c>
      <c r="D212" s="16" t="str">
        <f>IF(IFERROR(HLOOKUP(D$2,$M$2:$BL212,$J212,FALSE),"")="","",IFERROR(HLOOKUP(D$2,$M$2:$BL212,$J212,FALSE),""))</f>
        <v/>
      </c>
      <c r="E212" s="16" t="str">
        <f>IF(IFERROR(HLOOKUP(E$2,$M$2:$BL212,$J212,FALSE),"")="","",IFERROR(HLOOKUP(E$2,$M$2:$BL212,$J212,FALSE),""))</f>
        <v/>
      </c>
      <c r="F212" s="16" t="str">
        <f>IF(IFERROR(HLOOKUP(F$2,$M$2:$BL212,$J212,FALSE),"")="","",IFERROR(HLOOKUP(F$2,$M$2:$BL212,$J212,FALSE),""))</f>
        <v/>
      </c>
      <c r="G212" s="16" t="str">
        <f>IF(IFERROR(HLOOKUP(G$2,$M$2:$BL212,$J212,FALSE),"")="","",IFERROR(HLOOKUP(G$2,$M$2:$BL212,$J212,FALSE),""))</f>
        <v/>
      </c>
      <c r="J212" s="16">
        <f t="shared" si="20"/>
        <v>211</v>
      </c>
    </row>
    <row r="213" spans="1:21">
      <c r="A213" s="16" t="str">
        <f t="shared" si="19"/>
        <v>BB</v>
      </c>
      <c r="B213" s="16" t="str">
        <f>IF(IFERROR(HLOOKUP(B$2,$M$2:$BL213,$J213,FALSE),"")="","",IFERROR(HLOOKUP(B$2,$M$2:$BL213,$J213,FALSE),""))</f>
        <v/>
      </c>
      <c r="C213" s="16" t="str">
        <f>IF(IFERROR(HLOOKUP(C$2,$M$2:$BL213,$J213,FALSE),"")="","",IFERROR(HLOOKUP(C$2,$M$2:$BL213,$J213,FALSE),""))</f>
        <v/>
      </c>
      <c r="D213" s="16" t="str">
        <f>IF(IFERROR(HLOOKUP(D$2,$M$2:$BL213,$J213,FALSE),"")="","",IFERROR(HLOOKUP(D$2,$M$2:$BL213,$J213,FALSE),""))</f>
        <v/>
      </c>
      <c r="E213" s="16" t="str">
        <f>IF(IFERROR(HLOOKUP(E$2,$M$2:$BL213,$J213,FALSE),"")="","",IFERROR(HLOOKUP(E$2,$M$2:$BL213,$J213,FALSE),""))</f>
        <v/>
      </c>
      <c r="F213" s="16" t="str">
        <f>IF(IFERROR(HLOOKUP(F$2,$M$2:$BL213,$J213,FALSE),"")="","",IFERROR(HLOOKUP(F$2,$M$2:$BL213,$J213,FALSE),""))</f>
        <v/>
      </c>
      <c r="G213" s="16" t="str">
        <f>IF(IFERROR(HLOOKUP(G$2,$M$2:$BL213,$J213,FALSE),"")="","",IFERROR(HLOOKUP(G$2,$M$2:$BL213,$J213,FALSE),""))</f>
        <v/>
      </c>
      <c r="J213" s="16">
        <f t="shared" si="20"/>
        <v>212</v>
      </c>
    </row>
    <row r="214" spans="1:21">
      <c r="A214" s="16" t="str">
        <f t="shared" si="19"/>
        <v>B</v>
      </c>
      <c r="B214" s="16" t="str">
        <f>IF(IFERROR(HLOOKUP(B$2,$M$2:$BL214,$J214,FALSE),"")="","",IFERROR(HLOOKUP(B$2,$M$2:$BL214,$J214,FALSE),""))</f>
        <v/>
      </c>
      <c r="C214" s="16" t="str">
        <f>IF(IFERROR(HLOOKUP(C$2,$M$2:$BL214,$J214,FALSE),"")="","",IFERROR(HLOOKUP(C$2,$M$2:$BL214,$J214,FALSE),""))</f>
        <v/>
      </c>
      <c r="D214" s="16" t="str">
        <f>IF(IFERROR(HLOOKUP(D$2,$M$2:$BL214,$J214,FALSE),"")="","",IFERROR(HLOOKUP(D$2,$M$2:$BL214,$J214,FALSE),""))</f>
        <v/>
      </c>
      <c r="E214" s="16" t="str">
        <f>IF(IFERROR(HLOOKUP(E$2,$M$2:$BL214,$J214,FALSE),"")="","",IFERROR(HLOOKUP(E$2,$M$2:$BL214,$J214,FALSE),""))</f>
        <v/>
      </c>
      <c r="F214" s="16" t="str">
        <f>IF(IFERROR(HLOOKUP(F$2,$M$2:$BL214,$J214,FALSE),"")="","",IFERROR(HLOOKUP(F$2,$M$2:$BL214,$J214,FALSE),""))</f>
        <v/>
      </c>
      <c r="G214" s="16" t="str">
        <f>IF(IFERROR(HLOOKUP(G$2,$M$2:$BL214,$J214,FALSE),"")="","",IFERROR(HLOOKUP(G$2,$M$2:$BL214,$J214,FALSE),""))</f>
        <v/>
      </c>
      <c r="J214" s="16">
        <f t="shared" si="20"/>
        <v>213</v>
      </c>
    </row>
    <row r="215" spans="1:21">
      <c r="A215" s="16" t="str">
        <f t="shared" si="19"/>
        <v>CCC and below</v>
      </c>
      <c r="B215" s="16" t="str">
        <f>IF(IFERROR(HLOOKUP(B$2,$M$2:$BL215,$J215,FALSE),"")="","",IFERROR(HLOOKUP(B$2,$M$2:$BL215,$J215,FALSE),""))</f>
        <v/>
      </c>
      <c r="C215" s="16" t="str">
        <f>IF(IFERROR(HLOOKUP(C$2,$M$2:$BL215,$J215,FALSE),"")="","",IFERROR(HLOOKUP(C$2,$M$2:$BL215,$J215,FALSE),""))</f>
        <v/>
      </c>
      <c r="D215" s="16" t="str">
        <f>IF(IFERROR(HLOOKUP(D$2,$M$2:$BL215,$J215,FALSE),"")="","",IFERROR(HLOOKUP(D$2,$M$2:$BL215,$J215,FALSE),""))</f>
        <v/>
      </c>
      <c r="E215" s="16" t="str">
        <f>IF(IFERROR(HLOOKUP(E$2,$M$2:$BL215,$J215,FALSE),"")="","",IFERROR(HLOOKUP(E$2,$M$2:$BL215,$J215,FALSE),""))</f>
        <v/>
      </c>
      <c r="F215" s="16" t="str">
        <f>IF(IFERROR(HLOOKUP(F$2,$M$2:$BL215,$J215,FALSE),"")="","",IFERROR(HLOOKUP(F$2,$M$2:$BL215,$J215,FALSE),""))</f>
        <v/>
      </c>
      <c r="G215" s="16" t="str">
        <f>IF(IFERROR(HLOOKUP(G$2,$M$2:$BL215,$J215,FALSE),"")="","",IFERROR(HLOOKUP(G$2,$M$2:$BL215,$J215,FALSE),""))</f>
        <v/>
      </c>
      <c r="J215" s="16">
        <f t="shared" si="20"/>
        <v>214</v>
      </c>
    </row>
    <row r="218" spans="1:21">
      <c r="A218" s="24" t="s">
        <v>880</v>
      </c>
      <c r="U218" s="18" t="s">
        <v>881</v>
      </c>
    </row>
    <row r="219" spans="1:21" s="19" customFormat="1">
      <c r="A219" s="22" t="str">
        <f t="shared" ref="A219:A253" si="21">+A181</f>
        <v>Factor 1</v>
      </c>
      <c r="B219" s="19" t="str">
        <f>IF(IFERROR(HLOOKUP(B$2,$M$2:$BL219,$J219,FALSE),"")="","",IFERROR(HLOOKUP(B$2,$M$2:$BL219,$J219,FALSE),""))</f>
        <v/>
      </c>
      <c r="C219" s="19" t="str">
        <f>IF(IFERROR(HLOOKUP(C$2,$M$2:$BL219,$J219,FALSE),"")="","",IFERROR(HLOOKUP(C$2,$M$2:$BL219,$J219,FALSE),""))</f>
        <v/>
      </c>
      <c r="D219" s="19" t="str">
        <f>IF(IFERROR(HLOOKUP(D$2,$M$2:$BL219,$J219,FALSE),"")="","",IFERROR(HLOOKUP(D$2,$M$2:$BL219,$J219,FALSE),""))</f>
        <v/>
      </c>
      <c r="E219" s="19" t="str">
        <f>IF(IFERROR(HLOOKUP(E$2,$M$2:$BL219,$J219,FALSE),"")="","",IFERROR(HLOOKUP(E$2,$M$2:$BL219,$J219,FALSE),""))</f>
        <v/>
      </c>
      <c r="F219" s="19" t="str">
        <f>IF(IFERROR(HLOOKUP(F$2,$M$2:$BL219,$J219,FALSE),"")="","",IFERROR(HLOOKUP(F$2,$M$2:$BL219,$J219,FALSE),""))</f>
        <v/>
      </c>
      <c r="G219" s="19" t="str">
        <f>IF(IFERROR(HLOOKUP(G$2,$M$2:$BL219,$J219,FALSE),"")="","",IFERROR(HLOOKUP(G$2,$M$2:$BL219,$J219,FALSE),""))</f>
        <v/>
      </c>
      <c r="U219" s="19" t="s">
        <v>882</v>
      </c>
    </row>
    <row r="220" spans="1:21">
      <c r="A220" s="16" t="str">
        <f t="shared" si="21"/>
        <v>AA and above</v>
      </c>
      <c r="B220" s="16" t="str">
        <f>IF(IFERROR(HLOOKUP(B$2,$M$2:$BL220,$J220,FALSE),"")="","",IFERROR(HLOOKUP(B$2,$M$2:$BL220,$J220,FALSE),""))</f>
        <v/>
      </c>
      <c r="C220" s="16" t="str">
        <f>IF(IFERROR(HLOOKUP(C$2,$M$2:$BL220,$J220,FALSE),"")="","",IFERROR(HLOOKUP(C$2,$M$2:$BL220,$J220,FALSE),""))</f>
        <v/>
      </c>
      <c r="D220" s="16" t="str">
        <f>IF(IFERROR(HLOOKUP(D$2,$M$2:$BL220,$J220,FALSE),"")="","",IFERROR(HLOOKUP(D$2,$M$2:$BL220,$J220,FALSE),""))</f>
        <v/>
      </c>
      <c r="E220" s="16" t="str">
        <f>IF(IFERROR(HLOOKUP(E$2,$M$2:$BL220,$J220,FALSE),"")="","",IFERROR(HLOOKUP(E$2,$M$2:$BL220,$J220,FALSE),""))</f>
        <v/>
      </c>
      <c r="F220" s="16" t="str">
        <f>IF(IFERROR(HLOOKUP(F$2,$M$2:$BL220,$J220,FALSE),"")="","",IFERROR(HLOOKUP(F$2,$M$2:$BL220,$J220,FALSE),""))</f>
        <v/>
      </c>
      <c r="G220" s="16" t="str">
        <f>IF(IFERROR(HLOOKUP(G$2,$M$2:$BL220,$J220,FALSE),"")="","",IFERROR(HLOOKUP(G$2,$M$2:$BL220,$J220,FALSE),""))</f>
        <v/>
      </c>
      <c r="U220" s="16" t="s">
        <v>791</v>
      </c>
    </row>
    <row r="221" spans="1:21">
      <c r="A221" s="16" t="str">
        <f t="shared" si="21"/>
        <v>A</v>
      </c>
      <c r="B221" s="16" t="str">
        <f>IF(IFERROR(HLOOKUP(B$2,$M$2:$BL221,$J221,FALSE),"")="","",IFERROR(HLOOKUP(B$2,$M$2:$BL221,$J221,FALSE),""))</f>
        <v/>
      </c>
      <c r="C221" s="16" t="str">
        <f>IF(IFERROR(HLOOKUP(C$2,$M$2:$BL221,$J221,FALSE),"")="","",IFERROR(HLOOKUP(C$2,$M$2:$BL221,$J221,FALSE),""))</f>
        <v/>
      </c>
      <c r="D221" s="16" t="str">
        <f>IF(IFERROR(HLOOKUP(D$2,$M$2:$BL221,$J221,FALSE),"")="","",IFERROR(HLOOKUP(D$2,$M$2:$BL221,$J221,FALSE),""))</f>
        <v/>
      </c>
      <c r="E221" s="16" t="str">
        <f>IF(IFERROR(HLOOKUP(E$2,$M$2:$BL221,$J221,FALSE),"")="","",IFERROR(HLOOKUP(E$2,$M$2:$BL221,$J221,FALSE),""))</f>
        <v/>
      </c>
      <c r="F221" s="16" t="str">
        <f>IF(IFERROR(HLOOKUP(F$2,$M$2:$BL221,$J221,FALSE),"")="","",IFERROR(HLOOKUP(F$2,$M$2:$BL221,$J221,FALSE),""))</f>
        <v/>
      </c>
      <c r="G221" s="16" t="str">
        <f>IF(IFERROR(HLOOKUP(G$2,$M$2:$BL221,$J221,FALSE),"")="","",IFERROR(HLOOKUP(G$2,$M$2:$BL221,$J221,FALSE),""))</f>
        <v/>
      </c>
      <c r="U221" s="16" t="s">
        <v>853</v>
      </c>
    </row>
    <row r="222" spans="1:21">
      <c r="A222" s="16" t="str">
        <f t="shared" si="21"/>
        <v>BBB</v>
      </c>
      <c r="B222" s="16" t="str">
        <f>IF(IFERROR(HLOOKUP(B$2,$M$2:$BL222,$J222,FALSE),"")="","",IFERROR(HLOOKUP(B$2,$M$2:$BL222,$J222,FALSE),""))</f>
        <v/>
      </c>
      <c r="C222" s="16" t="str">
        <f>IF(IFERROR(HLOOKUP(C$2,$M$2:$BL222,$J222,FALSE),"")="","",IFERROR(HLOOKUP(C$2,$M$2:$BL222,$J222,FALSE),""))</f>
        <v/>
      </c>
      <c r="D222" s="16" t="str">
        <f>IF(IFERROR(HLOOKUP(D$2,$M$2:$BL222,$J222,FALSE),"")="","",IFERROR(HLOOKUP(D$2,$M$2:$BL222,$J222,FALSE),""))</f>
        <v/>
      </c>
      <c r="E222" s="16" t="str">
        <f>IF(IFERROR(HLOOKUP(E$2,$M$2:$BL222,$J222,FALSE),"")="","",IFERROR(HLOOKUP(E$2,$M$2:$BL222,$J222,FALSE),""))</f>
        <v/>
      </c>
      <c r="F222" s="16" t="str">
        <f>IF(IFERROR(HLOOKUP(F$2,$M$2:$BL222,$J222,FALSE),"")="","",IFERROR(HLOOKUP(F$2,$M$2:$BL222,$J222,FALSE),""))</f>
        <v/>
      </c>
      <c r="G222" s="16" t="str">
        <f>IF(IFERROR(HLOOKUP(G$2,$M$2:$BL222,$J222,FALSE),"")="","",IFERROR(HLOOKUP(G$2,$M$2:$BL222,$J222,FALSE),""))</f>
        <v/>
      </c>
      <c r="U222" s="16" t="s">
        <v>849</v>
      </c>
    </row>
    <row r="223" spans="1:21">
      <c r="A223" s="16" t="str">
        <f t="shared" si="21"/>
        <v>BB</v>
      </c>
      <c r="B223" s="16" t="str">
        <f>IF(IFERROR(HLOOKUP(B$2,$M$2:$BL223,$J223,FALSE),"")="","",IFERROR(HLOOKUP(B$2,$M$2:$BL223,$J223,FALSE),""))</f>
        <v/>
      </c>
      <c r="C223" s="16" t="str">
        <f>IF(IFERROR(HLOOKUP(C$2,$M$2:$BL223,$J223,FALSE),"")="","",IFERROR(HLOOKUP(C$2,$M$2:$BL223,$J223,FALSE),""))</f>
        <v/>
      </c>
      <c r="D223" s="16" t="str">
        <f>IF(IFERROR(HLOOKUP(D$2,$M$2:$BL223,$J223,FALSE),"")="","",IFERROR(HLOOKUP(D$2,$M$2:$BL223,$J223,FALSE),""))</f>
        <v/>
      </c>
      <c r="E223" s="16" t="str">
        <f>IF(IFERROR(HLOOKUP(E$2,$M$2:$BL223,$J223,FALSE),"")="","",IFERROR(HLOOKUP(E$2,$M$2:$BL223,$J223,FALSE),""))</f>
        <v/>
      </c>
      <c r="F223" s="16" t="str">
        <f>IF(IFERROR(HLOOKUP(F$2,$M$2:$BL223,$J223,FALSE),"")="","",IFERROR(HLOOKUP(F$2,$M$2:$BL223,$J223,FALSE),""))</f>
        <v/>
      </c>
      <c r="G223" s="16" t="str">
        <f>IF(IFERROR(HLOOKUP(G$2,$M$2:$BL223,$J223,FALSE),"")="","",IFERROR(HLOOKUP(G$2,$M$2:$BL223,$J223,FALSE),""))</f>
        <v/>
      </c>
      <c r="U223" s="16" t="s">
        <v>429</v>
      </c>
    </row>
    <row r="224" spans="1:21">
      <c r="A224" s="16" t="str">
        <f t="shared" si="21"/>
        <v>B</v>
      </c>
      <c r="B224" s="16" t="str">
        <f>IF(IFERROR(HLOOKUP(B$2,$M$2:$BL224,$J224,FALSE),"")="","",IFERROR(HLOOKUP(B$2,$M$2:$BL224,$J224,FALSE),""))</f>
        <v/>
      </c>
      <c r="C224" s="16" t="str">
        <f>IF(IFERROR(HLOOKUP(C$2,$M$2:$BL224,$J224,FALSE),"")="","",IFERROR(HLOOKUP(C$2,$M$2:$BL224,$J224,FALSE),""))</f>
        <v/>
      </c>
      <c r="D224" s="16" t="str">
        <f>IF(IFERROR(HLOOKUP(D$2,$M$2:$BL224,$J224,FALSE),"")="","",IFERROR(HLOOKUP(D$2,$M$2:$BL224,$J224,FALSE),""))</f>
        <v/>
      </c>
      <c r="E224" s="16" t="str">
        <f>IF(IFERROR(HLOOKUP(E$2,$M$2:$BL224,$J224,FALSE),"")="","",IFERROR(HLOOKUP(E$2,$M$2:$BL224,$J224,FALSE),""))</f>
        <v/>
      </c>
      <c r="F224" s="16" t="str">
        <f>IF(IFERROR(HLOOKUP(F$2,$M$2:$BL224,$J224,FALSE),"")="","",IFERROR(HLOOKUP(F$2,$M$2:$BL224,$J224,FALSE),""))</f>
        <v/>
      </c>
      <c r="G224" s="16" t="str">
        <f>IF(IFERROR(HLOOKUP(G$2,$M$2:$BL224,$J224,FALSE),"")="","",IFERROR(HLOOKUP(G$2,$M$2:$BL224,$J224,FALSE),""))</f>
        <v/>
      </c>
      <c r="U224" s="16" t="s">
        <v>810</v>
      </c>
    </row>
    <row r="225" spans="1:21">
      <c r="A225" s="16" t="str">
        <f t="shared" si="21"/>
        <v>CCC and below</v>
      </c>
      <c r="B225" s="16" t="str">
        <f>IF(IFERROR(HLOOKUP(B$2,$M$2:$BL225,$J225,FALSE),"")="","",IFERROR(HLOOKUP(B$2,$M$2:$BL225,$J225,FALSE),""))</f>
        <v/>
      </c>
      <c r="C225" s="16" t="str">
        <f>IF(IFERROR(HLOOKUP(C$2,$M$2:$BL225,$J225,FALSE),"")="","",IFERROR(HLOOKUP(C$2,$M$2:$BL225,$J225,FALSE),""))</f>
        <v/>
      </c>
      <c r="D225" s="16" t="str">
        <f>IF(IFERROR(HLOOKUP(D$2,$M$2:$BL225,$J225,FALSE),"")="","",IFERROR(HLOOKUP(D$2,$M$2:$BL225,$J225,FALSE),""))</f>
        <v/>
      </c>
      <c r="E225" s="16" t="str">
        <f>IF(IFERROR(HLOOKUP(E$2,$M$2:$BL225,$J225,FALSE),"")="","",IFERROR(HLOOKUP(E$2,$M$2:$BL225,$J225,FALSE),""))</f>
        <v/>
      </c>
      <c r="F225" s="16" t="str">
        <f>IF(IFERROR(HLOOKUP(F$2,$M$2:$BL225,$J225,FALSE),"")="","",IFERROR(HLOOKUP(F$2,$M$2:$BL225,$J225,FALSE),""))</f>
        <v/>
      </c>
      <c r="G225" s="16" t="str">
        <f>IF(IFERROR(HLOOKUP(G$2,$M$2:$BL225,$J225,FALSE),"")="","",IFERROR(HLOOKUP(G$2,$M$2:$BL225,$J225,FALSE),""))</f>
        <v/>
      </c>
      <c r="U225" s="16" t="s">
        <v>103</v>
      </c>
    </row>
    <row r="226" spans="1:21" s="19" customFormat="1">
      <c r="A226" s="22" t="str">
        <f t="shared" si="21"/>
        <v>Factor 2</v>
      </c>
      <c r="B226" s="19" t="str">
        <f>IF(IFERROR(HLOOKUP(B$2,$M$2:$BL226,$J226,FALSE),"")="","",IFERROR(HLOOKUP(B$2,$M$2:$BL226,$J226,FALSE),""))</f>
        <v/>
      </c>
      <c r="C226" s="19" t="str">
        <f>IF(IFERROR(HLOOKUP(C$2,$M$2:$BL226,$J226,FALSE),"")="","",IFERROR(HLOOKUP(C$2,$M$2:$BL226,$J226,FALSE),""))</f>
        <v/>
      </c>
      <c r="D226" s="19" t="str">
        <f>IF(IFERROR(HLOOKUP(D$2,$M$2:$BL226,$J226,FALSE),"")="","",IFERROR(HLOOKUP(D$2,$M$2:$BL226,$J226,FALSE),""))</f>
        <v/>
      </c>
      <c r="E226" s="19" t="str">
        <f>IF(IFERROR(HLOOKUP(E$2,$M$2:$BL226,$J226,FALSE),"")="","",IFERROR(HLOOKUP(E$2,$M$2:$BL226,$J226,FALSE),""))</f>
        <v/>
      </c>
      <c r="F226" s="19" t="str">
        <f>IF(IFERROR(HLOOKUP(F$2,$M$2:$BL226,$J226,FALSE),"")="","",IFERROR(HLOOKUP(F$2,$M$2:$BL226,$J226,FALSE),""))</f>
        <v/>
      </c>
      <c r="G226" s="19" t="str">
        <f>IF(IFERROR(HLOOKUP(G$2,$M$2:$BL226,$J226,FALSE),"")="","",IFERROR(HLOOKUP(G$2,$M$2:$BL226,$J226,FALSE),""))</f>
        <v/>
      </c>
      <c r="U226" s="19" t="s">
        <v>883</v>
      </c>
    </row>
    <row r="227" spans="1:21">
      <c r="A227" s="16" t="str">
        <f t="shared" si="21"/>
        <v>AA and above</v>
      </c>
      <c r="B227" s="16" t="str">
        <f>IF(IFERROR(HLOOKUP(B$2,$M$2:$BL227,$J227,FALSE),"")="","",IFERROR(HLOOKUP(B$2,$M$2:$BL227,$J227,FALSE),""))</f>
        <v/>
      </c>
      <c r="C227" s="16" t="str">
        <f>IF(IFERROR(HLOOKUP(C$2,$M$2:$BL227,$J227,FALSE),"")="","",IFERROR(HLOOKUP(C$2,$M$2:$BL227,$J227,FALSE),""))</f>
        <v/>
      </c>
      <c r="D227" s="16" t="str">
        <f>IF(IFERROR(HLOOKUP(D$2,$M$2:$BL227,$J227,FALSE),"")="","",IFERROR(HLOOKUP(D$2,$M$2:$BL227,$J227,FALSE),""))</f>
        <v/>
      </c>
      <c r="E227" s="16" t="str">
        <f>IF(IFERROR(HLOOKUP(E$2,$M$2:$BL227,$J227,FALSE),"")="","",IFERROR(HLOOKUP(E$2,$M$2:$BL227,$J227,FALSE),""))</f>
        <v/>
      </c>
      <c r="F227" s="16" t="str">
        <f>IF(IFERROR(HLOOKUP(F$2,$M$2:$BL227,$J227,FALSE),"")="","",IFERROR(HLOOKUP(F$2,$M$2:$BL227,$J227,FALSE),""))</f>
        <v/>
      </c>
      <c r="G227" s="16" t="str">
        <f>IF(IFERROR(HLOOKUP(G$2,$M$2:$BL227,$J227,FALSE),"")="","",IFERROR(HLOOKUP(G$2,$M$2:$BL227,$J227,FALSE),""))</f>
        <v/>
      </c>
      <c r="U227" s="16" t="s">
        <v>884</v>
      </c>
    </row>
    <row r="228" spans="1:21">
      <c r="A228" s="16" t="str">
        <f t="shared" si="21"/>
        <v>A</v>
      </c>
      <c r="B228" s="16" t="str">
        <f>IF(IFERROR(HLOOKUP(B$2,$M$2:$BL228,$J228,FALSE),"")="","",IFERROR(HLOOKUP(B$2,$M$2:$BL228,$J228,FALSE),""))</f>
        <v/>
      </c>
      <c r="C228" s="16" t="str">
        <f>IF(IFERROR(HLOOKUP(C$2,$M$2:$BL228,$J228,FALSE),"")="","",IFERROR(HLOOKUP(C$2,$M$2:$BL228,$J228,FALSE),""))</f>
        <v/>
      </c>
      <c r="D228" s="16" t="str">
        <f>IF(IFERROR(HLOOKUP(D$2,$M$2:$BL228,$J228,FALSE),"")="","",IFERROR(HLOOKUP(D$2,$M$2:$BL228,$J228,FALSE),""))</f>
        <v/>
      </c>
      <c r="E228" s="16" t="str">
        <f>IF(IFERROR(HLOOKUP(E$2,$M$2:$BL228,$J228,FALSE),"")="","",IFERROR(HLOOKUP(E$2,$M$2:$BL228,$J228,FALSE),""))</f>
        <v/>
      </c>
      <c r="F228" s="16" t="str">
        <f>IF(IFERROR(HLOOKUP(F$2,$M$2:$BL228,$J228,FALSE),"")="","",IFERROR(HLOOKUP(F$2,$M$2:$BL228,$J228,FALSE),""))</f>
        <v/>
      </c>
      <c r="G228" s="16" t="str">
        <f>IF(IFERROR(HLOOKUP(G$2,$M$2:$BL228,$J228,FALSE),"")="","",IFERROR(HLOOKUP(G$2,$M$2:$BL228,$J228,FALSE),""))</f>
        <v/>
      </c>
      <c r="U228" s="16" t="s">
        <v>884</v>
      </c>
    </row>
    <row r="229" spans="1:21">
      <c r="A229" s="16" t="str">
        <f t="shared" si="21"/>
        <v>BBB</v>
      </c>
      <c r="B229" s="16" t="str">
        <f>IF(IFERROR(HLOOKUP(B$2,$M$2:$BL229,$J229,FALSE),"")="","",IFERROR(HLOOKUP(B$2,$M$2:$BL229,$J229,FALSE),""))</f>
        <v/>
      </c>
      <c r="C229" s="16" t="str">
        <f>IF(IFERROR(HLOOKUP(C$2,$M$2:$BL229,$J229,FALSE),"")="","",IFERROR(HLOOKUP(C$2,$M$2:$BL229,$J229,FALSE),""))</f>
        <v/>
      </c>
      <c r="D229" s="16" t="str">
        <f>IF(IFERROR(HLOOKUP(D$2,$M$2:$BL229,$J229,FALSE),"")="","",IFERROR(HLOOKUP(D$2,$M$2:$BL229,$J229,FALSE),""))</f>
        <v/>
      </c>
      <c r="E229" s="16" t="str">
        <f>IF(IFERROR(HLOOKUP(E$2,$M$2:$BL229,$J229,FALSE),"")="","",IFERROR(HLOOKUP(E$2,$M$2:$BL229,$J229,FALSE),""))</f>
        <v/>
      </c>
      <c r="F229" s="16" t="str">
        <f>IF(IFERROR(HLOOKUP(F$2,$M$2:$BL229,$J229,FALSE),"")="","",IFERROR(HLOOKUP(F$2,$M$2:$BL229,$J229,FALSE),""))</f>
        <v/>
      </c>
      <c r="G229" s="16" t="str">
        <f>IF(IFERROR(HLOOKUP(G$2,$M$2:$BL229,$J229,FALSE),"")="","",IFERROR(HLOOKUP(G$2,$M$2:$BL229,$J229,FALSE),""))</f>
        <v/>
      </c>
      <c r="U229" s="16" t="s">
        <v>884</v>
      </c>
    </row>
    <row r="230" spans="1:21">
      <c r="A230" s="16" t="str">
        <f t="shared" si="21"/>
        <v>BB</v>
      </c>
      <c r="B230" s="16" t="str">
        <f>IF(IFERROR(HLOOKUP(B$2,$M$2:$BL230,$J230,FALSE),"")="","",IFERROR(HLOOKUP(B$2,$M$2:$BL230,$J230,FALSE),""))</f>
        <v/>
      </c>
      <c r="C230" s="16" t="str">
        <f>IF(IFERROR(HLOOKUP(C$2,$M$2:$BL230,$J230,FALSE),"")="","",IFERROR(HLOOKUP(C$2,$M$2:$BL230,$J230,FALSE),""))</f>
        <v/>
      </c>
      <c r="D230" s="16" t="str">
        <f>IF(IFERROR(HLOOKUP(D$2,$M$2:$BL230,$J230,FALSE),"")="","",IFERROR(HLOOKUP(D$2,$M$2:$BL230,$J230,FALSE),""))</f>
        <v/>
      </c>
      <c r="E230" s="16" t="str">
        <f>IF(IFERROR(HLOOKUP(E$2,$M$2:$BL230,$J230,FALSE),"")="","",IFERROR(HLOOKUP(E$2,$M$2:$BL230,$J230,FALSE),""))</f>
        <v/>
      </c>
      <c r="F230" s="16" t="str">
        <f>IF(IFERROR(HLOOKUP(F$2,$M$2:$BL230,$J230,FALSE),"")="","",IFERROR(HLOOKUP(F$2,$M$2:$BL230,$J230,FALSE),""))</f>
        <v/>
      </c>
      <c r="G230" s="16" t="str">
        <f>IF(IFERROR(HLOOKUP(G$2,$M$2:$BL230,$J230,FALSE),"")="","",IFERROR(HLOOKUP(G$2,$M$2:$BL230,$J230,FALSE),""))</f>
        <v/>
      </c>
      <c r="U230" s="16" t="s">
        <v>885</v>
      </c>
    </row>
    <row r="231" spans="1:21">
      <c r="A231" s="16" t="str">
        <f t="shared" si="21"/>
        <v>B</v>
      </c>
      <c r="B231" s="16" t="str">
        <f>IF(IFERROR(HLOOKUP(B$2,$M$2:$BL231,$J231,FALSE),"")="","",IFERROR(HLOOKUP(B$2,$M$2:$BL231,$J231,FALSE),""))</f>
        <v/>
      </c>
      <c r="C231" s="16" t="str">
        <f>IF(IFERROR(HLOOKUP(C$2,$M$2:$BL231,$J231,FALSE),"")="","",IFERROR(HLOOKUP(C$2,$M$2:$BL231,$J231,FALSE),""))</f>
        <v/>
      </c>
      <c r="D231" s="16" t="str">
        <f>IF(IFERROR(HLOOKUP(D$2,$M$2:$BL231,$J231,FALSE),"")="","",IFERROR(HLOOKUP(D$2,$M$2:$BL231,$J231,FALSE),""))</f>
        <v/>
      </c>
      <c r="E231" s="16" t="str">
        <f>IF(IFERROR(HLOOKUP(E$2,$M$2:$BL231,$J231,FALSE),"")="","",IFERROR(HLOOKUP(E$2,$M$2:$BL231,$J231,FALSE),""))</f>
        <v/>
      </c>
      <c r="F231" s="16" t="str">
        <f>IF(IFERROR(HLOOKUP(F$2,$M$2:$BL231,$J231,FALSE),"")="","",IFERROR(HLOOKUP(F$2,$M$2:$BL231,$J231,FALSE),""))</f>
        <v/>
      </c>
      <c r="G231" s="16" t="str">
        <f>IF(IFERROR(HLOOKUP(G$2,$M$2:$BL231,$J231,FALSE),"")="","",IFERROR(HLOOKUP(G$2,$M$2:$BL231,$J231,FALSE),""))</f>
        <v/>
      </c>
      <c r="U231" s="16" t="s">
        <v>885</v>
      </c>
    </row>
    <row r="232" spans="1:21">
      <c r="A232" s="16" t="str">
        <f t="shared" si="21"/>
        <v>CCC and below</v>
      </c>
      <c r="B232" s="16" t="str">
        <f>IF(IFERROR(HLOOKUP(B$2,$M$2:$BL232,$J232,FALSE),"")="","",IFERROR(HLOOKUP(B$2,$M$2:$BL232,$J232,FALSE),""))</f>
        <v/>
      </c>
      <c r="C232" s="16" t="str">
        <f>IF(IFERROR(HLOOKUP(C$2,$M$2:$BL232,$J232,FALSE),"")="","",IFERROR(HLOOKUP(C$2,$M$2:$BL232,$J232,FALSE),""))</f>
        <v/>
      </c>
      <c r="D232" s="16" t="str">
        <f>IF(IFERROR(HLOOKUP(D$2,$M$2:$BL232,$J232,FALSE),"")="","",IFERROR(HLOOKUP(D$2,$M$2:$BL232,$J232,FALSE),""))</f>
        <v/>
      </c>
      <c r="E232" s="16" t="str">
        <f>IF(IFERROR(HLOOKUP(E$2,$M$2:$BL232,$J232,FALSE),"")="","",IFERROR(HLOOKUP(E$2,$M$2:$BL232,$J232,FALSE),""))</f>
        <v/>
      </c>
      <c r="F232" s="16" t="str">
        <f>IF(IFERROR(HLOOKUP(F$2,$M$2:$BL232,$J232,FALSE),"")="","",IFERROR(HLOOKUP(F$2,$M$2:$BL232,$J232,FALSE),""))</f>
        <v/>
      </c>
      <c r="G232" s="16" t="str">
        <f>IF(IFERROR(HLOOKUP(G$2,$M$2:$BL232,$J232,FALSE),"")="","",IFERROR(HLOOKUP(G$2,$M$2:$BL232,$J232,FALSE),""))</f>
        <v/>
      </c>
      <c r="U232" s="16" t="s">
        <v>103</v>
      </c>
    </row>
    <row r="233" spans="1:21" s="19" customFormat="1">
      <c r="A233" s="22" t="str">
        <f t="shared" si="21"/>
        <v>Factor 3</v>
      </c>
      <c r="B233" s="19" t="str">
        <f>IF(IFERROR(HLOOKUP(B$2,$M$2:$BL233,$J233,FALSE),"")="","",IFERROR(HLOOKUP(B$2,$M$2:$BL233,$J233,FALSE),""))</f>
        <v/>
      </c>
      <c r="C233" s="19" t="str">
        <f>IF(IFERROR(HLOOKUP(C$2,$M$2:$BL233,$J233,FALSE),"")="","",IFERROR(HLOOKUP(C$2,$M$2:$BL233,$J233,FALSE),""))</f>
        <v/>
      </c>
      <c r="D233" s="19" t="str">
        <f>IF(IFERROR(HLOOKUP(D$2,$M$2:$BL233,$J233,FALSE),"")="","",IFERROR(HLOOKUP(D$2,$M$2:$BL233,$J233,FALSE),""))</f>
        <v/>
      </c>
      <c r="E233" s="19" t="str">
        <f>IF(IFERROR(HLOOKUP(E$2,$M$2:$BL233,$J233,FALSE),"")="","",IFERROR(HLOOKUP(E$2,$M$2:$BL233,$J233,FALSE),""))</f>
        <v/>
      </c>
      <c r="F233" s="19" t="str">
        <f>IF(IFERROR(HLOOKUP(F$2,$M$2:$BL233,$J233,FALSE),"")="","",IFERROR(HLOOKUP(F$2,$M$2:$BL233,$J233,FALSE),""))</f>
        <v/>
      </c>
      <c r="G233" s="19" t="str">
        <f>IF(IFERROR(HLOOKUP(G$2,$M$2:$BL233,$J233,FALSE),"")="","",IFERROR(HLOOKUP(G$2,$M$2:$BL233,$J233,FALSE),""))</f>
        <v/>
      </c>
    </row>
    <row r="234" spans="1:21">
      <c r="A234" s="16" t="str">
        <f t="shared" si="21"/>
        <v>AA and above</v>
      </c>
      <c r="B234" s="16" t="str">
        <f>IF(IFERROR(HLOOKUP(B$2,$M$2:$BL234,$J234,FALSE),"")="","",IFERROR(HLOOKUP(B$2,$M$2:$BL234,$J234,FALSE),""))</f>
        <v/>
      </c>
      <c r="C234" s="16" t="str">
        <f>IF(IFERROR(HLOOKUP(C$2,$M$2:$BL234,$J234,FALSE),"")="","",IFERROR(HLOOKUP(C$2,$M$2:$BL234,$J234,FALSE),""))</f>
        <v/>
      </c>
      <c r="D234" s="16" t="str">
        <f>IF(IFERROR(HLOOKUP(D$2,$M$2:$BL234,$J234,FALSE),"")="","",IFERROR(HLOOKUP(D$2,$M$2:$BL234,$J234,FALSE),""))</f>
        <v/>
      </c>
      <c r="E234" s="16" t="str">
        <f>IF(IFERROR(HLOOKUP(E$2,$M$2:$BL234,$J234,FALSE),"")="","",IFERROR(HLOOKUP(E$2,$M$2:$BL234,$J234,FALSE),""))</f>
        <v/>
      </c>
      <c r="F234" s="16" t="str">
        <f>IF(IFERROR(HLOOKUP(F$2,$M$2:$BL234,$J234,FALSE),"")="","",IFERROR(HLOOKUP(F$2,$M$2:$BL234,$J234,FALSE),""))</f>
        <v/>
      </c>
      <c r="G234" s="16" t="str">
        <f>IF(IFERROR(HLOOKUP(G$2,$M$2:$BL234,$J234,FALSE),"")="","",IFERROR(HLOOKUP(G$2,$M$2:$BL234,$J234,FALSE),""))</f>
        <v/>
      </c>
    </row>
    <row r="235" spans="1:21">
      <c r="A235" s="16" t="str">
        <f t="shared" si="21"/>
        <v>A</v>
      </c>
      <c r="B235" s="16" t="str">
        <f>IF(IFERROR(HLOOKUP(B$2,$M$2:$BL235,$J235,FALSE),"")="","",IFERROR(HLOOKUP(B$2,$M$2:$BL235,$J235,FALSE),""))</f>
        <v/>
      </c>
      <c r="C235" s="16" t="str">
        <f>IF(IFERROR(HLOOKUP(C$2,$M$2:$BL235,$J235,FALSE),"")="","",IFERROR(HLOOKUP(C$2,$M$2:$BL235,$J235,FALSE),""))</f>
        <v/>
      </c>
      <c r="D235" s="16" t="str">
        <f>IF(IFERROR(HLOOKUP(D$2,$M$2:$BL235,$J235,FALSE),"")="","",IFERROR(HLOOKUP(D$2,$M$2:$BL235,$J235,FALSE),""))</f>
        <v/>
      </c>
      <c r="E235" s="16" t="str">
        <f>IF(IFERROR(HLOOKUP(E$2,$M$2:$BL235,$J235,FALSE),"")="","",IFERROR(HLOOKUP(E$2,$M$2:$BL235,$J235,FALSE),""))</f>
        <v/>
      </c>
      <c r="F235" s="16" t="str">
        <f>IF(IFERROR(HLOOKUP(F$2,$M$2:$BL235,$J235,FALSE),"")="","",IFERROR(HLOOKUP(F$2,$M$2:$BL235,$J235,FALSE),""))</f>
        <v/>
      </c>
      <c r="G235" s="16" t="str">
        <f>IF(IFERROR(HLOOKUP(G$2,$M$2:$BL235,$J235,FALSE),"")="","",IFERROR(HLOOKUP(G$2,$M$2:$BL235,$J235,FALSE),""))</f>
        <v/>
      </c>
    </row>
    <row r="236" spans="1:21">
      <c r="A236" s="16" t="str">
        <f t="shared" si="21"/>
        <v>BBB</v>
      </c>
      <c r="B236" s="16" t="str">
        <f>IF(IFERROR(HLOOKUP(B$2,$M$2:$BL236,$J236,FALSE),"")="","",IFERROR(HLOOKUP(B$2,$M$2:$BL236,$J236,FALSE),""))</f>
        <v/>
      </c>
      <c r="C236" s="16" t="str">
        <f>IF(IFERROR(HLOOKUP(C$2,$M$2:$BL236,$J236,FALSE),"")="","",IFERROR(HLOOKUP(C$2,$M$2:$BL236,$J236,FALSE),""))</f>
        <v/>
      </c>
      <c r="D236" s="16" t="str">
        <f>IF(IFERROR(HLOOKUP(D$2,$M$2:$BL236,$J236,FALSE),"")="","",IFERROR(HLOOKUP(D$2,$M$2:$BL236,$J236,FALSE),""))</f>
        <v/>
      </c>
      <c r="E236" s="16" t="str">
        <f>IF(IFERROR(HLOOKUP(E$2,$M$2:$BL236,$J236,FALSE),"")="","",IFERROR(HLOOKUP(E$2,$M$2:$BL236,$J236,FALSE),""))</f>
        <v/>
      </c>
      <c r="F236" s="16" t="str">
        <f>IF(IFERROR(HLOOKUP(F$2,$M$2:$BL236,$J236,FALSE),"")="","",IFERROR(HLOOKUP(F$2,$M$2:$BL236,$J236,FALSE),""))</f>
        <v/>
      </c>
      <c r="G236" s="16" t="str">
        <f>IF(IFERROR(HLOOKUP(G$2,$M$2:$BL236,$J236,FALSE),"")="","",IFERROR(HLOOKUP(G$2,$M$2:$BL236,$J236,FALSE),""))</f>
        <v/>
      </c>
    </row>
    <row r="237" spans="1:21">
      <c r="A237" s="16" t="str">
        <f t="shared" si="21"/>
        <v>BB</v>
      </c>
      <c r="B237" s="16" t="str">
        <f>IF(IFERROR(HLOOKUP(B$2,$M$2:$BL237,$J237,FALSE),"")="","",IFERROR(HLOOKUP(B$2,$M$2:$BL237,$J237,FALSE),""))</f>
        <v/>
      </c>
      <c r="C237" s="16" t="str">
        <f>IF(IFERROR(HLOOKUP(C$2,$M$2:$BL237,$J237,FALSE),"")="","",IFERROR(HLOOKUP(C$2,$M$2:$BL237,$J237,FALSE),""))</f>
        <v/>
      </c>
      <c r="D237" s="16" t="str">
        <f>IF(IFERROR(HLOOKUP(D$2,$M$2:$BL237,$J237,FALSE),"")="","",IFERROR(HLOOKUP(D$2,$M$2:$BL237,$J237,FALSE),""))</f>
        <v/>
      </c>
      <c r="E237" s="16" t="str">
        <f>IF(IFERROR(HLOOKUP(E$2,$M$2:$BL237,$J237,FALSE),"")="","",IFERROR(HLOOKUP(E$2,$M$2:$BL237,$J237,FALSE),""))</f>
        <v/>
      </c>
      <c r="F237" s="16" t="str">
        <f>IF(IFERROR(HLOOKUP(F$2,$M$2:$BL237,$J237,FALSE),"")="","",IFERROR(HLOOKUP(F$2,$M$2:$BL237,$J237,FALSE),""))</f>
        <v/>
      </c>
      <c r="G237" s="16" t="str">
        <f>IF(IFERROR(HLOOKUP(G$2,$M$2:$BL237,$J237,FALSE),"")="","",IFERROR(HLOOKUP(G$2,$M$2:$BL237,$J237,FALSE),""))</f>
        <v/>
      </c>
    </row>
    <row r="238" spans="1:21">
      <c r="A238" s="16" t="str">
        <f t="shared" si="21"/>
        <v>B</v>
      </c>
      <c r="B238" s="16" t="str">
        <f>IF(IFERROR(HLOOKUP(B$2,$M$2:$BL238,$J238,FALSE),"")="","",IFERROR(HLOOKUP(B$2,$M$2:$BL238,$J238,FALSE),""))</f>
        <v/>
      </c>
      <c r="C238" s="16" t="str">
        <f>IF(IFERROR(HLOOKUP(C$2,$M$2:$BL238,$J238,FALSE),"")="","",IFERROR(HLOOKUP(C$2,$M$2:$BL238,$J238,FALSE),""))</f>
        <v/>
      </c>
      <c r="D238" s="16" t="str">
        <f>IF(IFERROR(HLOOKUP(D$2,$M$2:$BL238,$J238,FALSE),"")="","",IFERROR(HLOOKUP(D$2,$M$2:$BL238,$J238,FALSE),""))</f>
        <v/>
      </c>
      <c r="E238" s="16" t="str">
        <f>IF(IFERROR(HLOOKUP(E$2,$M$2:$BL238,$J238,FALSE),"")="","",IFERROR(HLOOKUP(E$2,$M$2:$BL238,$J238,FALSE),""))</f>
        <v/>
      </c>
      <c r="F238" s="16" t="str">
        <f>IF(IFERROR(HLOOKUP(F$2,$M$2:$BL238,$J238,FALSE),"")="","",IFERROR(HLOOKUP(F$2,$M$2:$BL238,$J238,FALSE),""))</f>
        <v/>
      </c>
      <c r="G238" s="16" t="str">
        <f>IF(IFERROR(HLOOKUP(G$2,$M$2:$BL238,$J238,FALSE),"")="","",IFERROR(HLOOKUP(G$2,$M$2:$BL238,$J238,FALSE),""))</f>
        <v/>
      </c>
    </row>
    <row r="239" spans="1:21">
      <c r="A239" s="16" t="str">
        <f t="shared" si="21"/>
        <v>CCC and below</v>
      </c>
      <c r="B239" s="16" t="str">
        <f>IF(IFERROR(HLOOKUP(B$2,$M$2:$BL239,$J239,FALSE),"")="","",IFERROR(HLOOKUP(B$2,$M$2:$BL239,$J239,FALSE),""))</f>
        <v/>
      </c>
      <c r="C239" s="16" t="str">
        <f>IF(IFERROR(HLOOKUP(C$2,$M$2:$BL239,$J239,FALSE),"")="","",IFERROR(HLOOKUP(C$2,$M$2:$BL239,$J239,FALSE),""))</f>
        <v/>
      </c>
      <c r="D239" s="16" t="str">
        <f>IF(IFERROR(HLOOKUP(D$2,$M$2:$BL239,$J239,FALSE),"")="","",IFERROR(HLOOKUP(D$2,$M$2:$BL239,$J239,FALSE),""))</f>
        <v/>
      </c>
      <c r="E239" s="16" t="str">
        <f>IF(IFERROR(HLOOKUP(E$2,$M$2:$BL239,$J239,FALSE),"")="","",IFERROR(HLOOKUP(E$2,$M$2:$BL239,$J239,FALSE),""))</f>
        <v/>
      </c>
      <c r="F239" s="16" t="str">
        <f>IF(IFERROR(HLOOKUP(F$2,$M$2:$BL239,$J239,FALSE),"")="","",IFERROR(HLOOKUP(F$2,$M$2:$BL239,$J239,FALSE),""))</f>
        <v/>
      </c>
      <c r="G239" s="16" t="str">
        <f>IF(IFERROR(HLOOKUP(G$2,$M$2:$BL239,$J239,FALSE),"")="","",IFERROR(HLOOKUP(G$2,$M$2:$BL239,$J239,FALSE),""))</f>
        <v/>
      </c>
    </row>
    <row r="240" spans="1:21" s="19" customFormat="1">
      <c r="A240" s="22" t="str">
        <f t="shared" si="21"/>
        <v>Factor 4</v>
      </c>
      <c r="B240" s="19" t="str">
        <f>IF(IFERROR(HLOOKUP(B$2,$M$2:$BL240,$J240,FALSE),"")="","",IFERROR(HLOOKUP(B$2,$M$2:$BL240,$J240,FALSE),""))</f>
        <v/>
      </c>
      <c r="C240" s="19" t="str">
        <f>IF(IFERROR(HLOOKUP(C$2,$M$2:$BL240,$J240,FALSE),"")="","",IFERROR(HLOOKUP(C$2,$M$2:$BL240,$J240,FALSE),""))</f>
        <v/>
      </c>
      <c r="D240" s="19" t="str">
        <f>IF(IFERROR(HLOOKUP(D$2,$M$2:$BL240,$J240,FALSE),"")="","",IFERROR(HLOOKUP(D$2,$M$2:$BL240,$J240,FALSE),""))</f>
        <v/>
      </c>
      <c r="E240" s="19" t="str">
        <f>IF(IFERROR(HLOOKUP(E$2,$M$2:$BL240,$J240,FALSE),"")="","",IFERROR(HLOOKUP(E$2,$M$2:$BL240,$J240,FALSE),""))</f>
        <v/>
      </c>
      <c r="F240" s="19" t="str">
        <f>IF(IFERROR(HLOOKUP(F$2,$M$2:$BL240,$J240,FALSE),"")="","",IFERROR(HLOOKUP(F$2,$M$2:$BL240,$J240,FALSE),""))</f>
        <v/>
      </c>
      <c r="G240" s="19" t="str">
        <f>IF(IFERROR(HLOOKUP(G$2,$M$2:$BL240,$J240,FALSE),"")="","",IFERROR(HLOOKUP(G$2,$M$2:$BL240,$J240,FALSE),""))</f>
        <v/>
      </c>
    </row>
    <row r="241" spans="1:21">
      <c r="A241" s="16" t="str">
        <f t="shared" si="21"/>
        <v>AA and above</v>
      </c>
      <c r="B241" s="16" t="str">
        <f>IF(IFERROR(HLOOKUP(B$2,$M$2:$BL241,$J241,FALSE),"")="","",IFERROR(HLOOKUP(B$2,$M$2:$BL241,$J241,FALSE),""))</f>
        <v/>
      </c>
      <c r="C241" s="16" t="str">
        <f>IF(IFERROR(HLOOKUP(C$2,$M$2:$BL241,$J241,FALSE),"")="","",IFERROR(HLOOKUP(C$2,$M$2:$BL241,$J241,FALSE),""))</f>
        <v/>
      </c>
      <c r="D241" s="16" t="str">
        <f>IF(IFERROR(HLOOKUP(D$2,$M$2:$BL241,$J241,FALSE),"")="","",IFERROR(HLOOKUP(D$2,$M$2:$BL241,$J241,FALSE),""))</f>
        <v/>
      </c>
      <c r="E241" s="16" t="str">
        <f>IF(IFERROR(HLOOKUP(E$2,$M$2:$BL241,$J241,FALSE),"")="","",IFERROR(HLOOKUP(E$2,$M$2:$BL241,$J241,FALSE),""))</f>
        <v/>
      </c>
      <c r="F241" s="16" t="str">
        <f>IF(IFERROR(HLOOKUP(F$2,$M$2:$BL241,$J241,FALSE),"")="","",IFERROR(HLOOKUP(F$2,$M$2:$BL241,$J241,FALSE),""))</f>
        <v/>
      </c>
      <c r="G241" s="16" t="str">
        <f>IF(IFERROR(HLOOKUP(G$2,$M$2:$BL241,$J241,FALSE),"")="","",IFERROR(HLOOKUP(G$2,$M$2:$BL241,$J241,FALSE),""))</f>
        <v/>
      </c>
    </row>
    <row r="242" spans="1:21">
      <c r="A242" s="16" t="str">
        <f t="shared" si="21"/>
        <v>A</v>
      </c>
      <c r="B242" s="16" t="str">
        <f>IF(IFERROR(HLOOKUP(B$2,$M$2:$BL242,$J242,FALSE),"")="","",IFERROR(HLOOKUP(B$2,$M$2:$BL242,$J242,FALSE),""))</f>
        <v/>
      </c>
      <c r="C242" s="16" t="str">
        <f>IF(IFERROR(HLOOKUP(C$2,$M$2:$BL242,$J242,FALSE),"")="","",IFERROR(HLOOKUP(C$2,$M$2:$BL242,$J242,FALSE),""))</f>
        <v/>
      </c>
      <c r="D242" s="16" t="str">
        <f>IF(IFERROR(HLOOKUP(D$2,$M$2:$BL242,$J242,FALSE),"")="","",IFERROR(HLOOKUP(D$2,$M$2:$BL242,$J242,FALSE),""))</f>
        <v/>
      </c>
      <c r="E242" s="16" t="str">
        <f>IF(IFERROR(HLOOKUP(E$2,$M$2:$BL242,$J242,FALSE),"")="","",IFERROR(HLOOKUP(E$2,$M$2:$BL242,$J242,FALSE),""))</f>
        <v/>
      </c>
      <c r="F242" s="16" t="str">
        <f>IF(IFERROR(HLOOKUP(F$2,$M$2:$BL242,$J242,FALSE),"")="","",IFERROR(HLOOKUP(F$2,$M$2:$BL242,$J242,FALSE),""))</f>
        <v/>
      </c>
      <c r="G242" s="16" t="str">
        <f>IF(IFERROR(HLOOKUP(G$2,$M$2:$BL242,$J242,FALSE),"")="","",IFERROR(HLOOKUP(G$2,$M$2:$BL242,$J242,FALSE),""))</f>
        <v/>
      </c>
    </row>
    <row r="243" spans="1:21">
      <c r="A243" s="16" t="str">
        <f t="shared" si="21"/>
        <v>BBB</v>
      </c>
      <c r="B243" s="16" t="str">
        <f>IF(IFERROR(HLOOKUP(B$2,$M$2:$BL243,$J243,FALSE),"")="","",IFERROR(HLOOKUP(B$2,$M$2:$BL243,$J243,FALSE),""))</f>
        <v/>
      </c>
      <c r="C243" s="16" t="str">
        <f>IF(IFERROR(HLOOKUP(C$2,$M$2:$BL243,$J243,FALSE),"")="","",IFERROR(HLOOKUP(C$2,$M$2:$BL243,$J243,FALSE),""))</f>
        <v/>
      </c>
      <c r="D243" s="16" t="str">
        <f>IF(IFERROR(HLOOKUP(D$2,$M$2:$BL243,$J243,FALSE),"")="","",IFERROR(HLOOKUP(D$2,$M$2:$BL243,$J243,FALSE),""))</f>
        <v/>
      </c>
      <c r="E243" s="16" t="str">
        <f>IF(IFERROR(HLOOKUP(E$2,$M$2:$BL243,$J243,FALSE),"")="","",IFERROR(HLOOKUP(E$2,$M$2:$BL243,$J243,FALSE),""))</f>
        <v/>
      </c>
      <c r="F243" s="16" t="str">
        <f>IF(IFERROR(HLOOKUP(F$2,$M$2:$BL243,$J243,FALSE),"")="","",IFERROR(HLOOKUP(F$2,$M$2:$BL243,$J243,FALSE),""))</f>
        <v/>
      </c>
      <c r="G243" s="16" t="str">
        <f>IF(IFERROR(HLOOKUP(G$2,$M$2:$BL243,$J243,FALSE),"")="","",IFERROR(HLOOKUP(G$2,$M$2:$BL243,$J243,FALSE),""))</f>
        <v/>
      </c>
    </row>
    <row r="244" spans="1:21">
      <c r="A244" s="16" t="str">
        <f t="shared" si="21"/>
        <v>BB</v>
      </c>
      <c r="B244" s="16" t="str">
        <f>IF(IFERROR(HLOOKUP(B$2,$M$2:$BL244,$J244,FALSE),"")="","",IFERROR(HLOOKUP(B$2,$M$2:$BL244,$J244,FALSE),""))</f>
        <v/>
      </c>
      <c r="C244" s="16" t="str">
        <f>IF(IFERROR(HLOOKUP(C$2,$M$2:$BL244,$J244,FALSE),"")="","",IFERROR(HLOOKUP(C$2,$M$2:$BL244,$J244,FALSE),""))</f>
        <v/>
      </c>
      <c r="D244" s="16" t="str">
        <f>IF(IFERROR(HLOOKUP(D$2,$M$2:$BL244,$J244,FALSE),"")="","",IFERROR(HLOOKUP(D$2,$M$2:$BL244,$J244,FALSE),""))</f>
        <v/>
      </c>
      <c r="E244" s="16" t="str">
        <f>IF(IFERROR(HLOOKUP(E$2,$M$2:$BL244,$J244,FALSE),"")="","",IFERROR(HLOOKUP(E$2,$M$2:$BL244,$J244,FALSE),""))</f>
        <v/>
      </c>
      <c r="F244" s="16" t="str">
        <f>IF(IFERROR(HLOOKUP(F$2,$M$2:$BL244,$J244,FALSE),"")="","",IFERROR(HLOOKUP(F$2,$M$2:$BL244,$J244,FALSE),""))</f>
        <v/>
      </c>
      <c r="G244" s="16" t="str">
        <f>IF(IFERROR(HLOOKUP(G$2,$M$2:$BL244,$J244,FALSE),"")="","",IFERROR(HLOOKUP(G$2,$M$2:$BL244,$J244,FALSE),""))</f>
        <v/>
      </c>
    </row>
    <row r="245" spans="1:21">
      <c r="A245" s="16" t="str">
        <f t="shared" si="21"/>
        <v>B</v>
      </c>
      <c r="B245" s="16" t="str">
        <f>IF(IFERROR(HLOOKUP(B$2,$M$2:$BL245,$J245,FALSE),"")="","",IFERROR(HLOOKUP(B$2,$M$2:$BL245,$J245,FALSE),""))</f>
        <v/>
      </c>
      <c r="C245" s="16" t="str">
        <f>IF(IFERROR(HLOOKUP(C$2,$M$2:$BL245,$J245,FALSE),"")="","",IFERROR(HLOOKUP(C$2,$M$2:$BL245,$J245,FALSE),""))</f>
        <v/>
      </c>
      <c r="D245" s="16" t="str">
        <f>IF(IFERROR(HLOOKUP(D$2,$M$2:$BL245,$J245,FALSE),"")="","",IFERROR(HLOOKUP(D$2,$M$2:$BL245,$J245,FALSE),""))</f>
        <v/>
      </c>
      <c r="E245" s="16" t="str">
        <f>IF(IFERROR(HLOOKUP(E$2,$M$2:$BL245,$J245,FALSE),"")="","",IFERROR(HLOOKUP(E$2,$M$2:$BL245,$J245,FALSE),""))</f>
        <v/>
      </c>
      <c r="F245" s="16" t="str">
        <f>IF(IFERROR(HLOOKUP(F$2,$M$2:$BL245,$J245,FALSE),"")="","",IFERROR(HLOOKUP(F$2,$M$2:$BL245,$J245,FALSE),""))</f>
        <v/>
      </c>
      <c r="G245" s="16" t="str">
        <f>IF(IFERROR(HLOOKUP(G$2,$M$2:$BL245,$J245,FALSE),"")="","",IFERROR(HLOOKUP(G$2,$M$2:$BL245,$J245,FALSE),""))</f>
        <v/>
      </c>
    </row>
    <row r="246" spans="1:21">
      <c r="A246" s="16" t="str">
        <f t="shared" si="21"/>
        <v>CCC and below</v>
      </c>
      <c r="B246" s="16" t="str">
        <f>IF(IFERROR(HLOOKUP(B$2,$M$2:$BL246,$J246,FALSE),"")="","",IFERROR(HLOOKUP(B$2,$M$2:$BL246,$J246,FALSE),""))</f>
        <v/>
      </c>
      <c r="C246" s="16" t="str">
        <f>IF(IFERROR(HLOOKUP(C$2,$M$2:$BL246,$J246,FALSE),"")="","",IFERROR(HLOOKUP(C$2,$M$2:$BL246,$J246,FALSE),""))</f>
        <v/>
      </c>
      <c r="D246" s="16" t="str">
        <f>IF(IFERROR(HLOOKUP(D$2,$M$2:$BL246,$J246,FALSE),"")="","",IFERROR(HLOOKUP(D$2,$M$2:$BL246,$J246,FALSE),""))</f>
        <v/>
      </c>
      <c r="E246" s="16" t="str">
        <f>IF(IFERROR(HLOOKUP(E$2,$M$2:$BL246,$J246,FALSE),"")="","",IFERROR(HLOOKUP(E$2,$M$2:$BL246,$J246,FALSE),""))</f>
        <v/>
      </c>
      <c r="F246" s="16" t="str">
        <f>IF(IFERROR(HLOOKUP(F$2,$M$2:$BL246,$J246,FALSE),"")="","",IFERROR(HLOOKUP(F$2,$M$2:$BL246,$J246,FALSE),""))</f>
        <v/>
      </c>
      <c r="G246" s="16" t="str">
        <f>IF(IFERROR(HLOOKUP(G$2,$M$2:$BL246,$J246,FALSE),"")="","",IFERROR(HLOOKUP(G$2,$M$2:$BL246,$J246,FALSE),""))</f>
        <v/>
      </c>
    </row>
    <row r="247" spans="1:21" s="19" customFormat="1">
      <c r="A247" s="22" t="str">
        <f t="shared" si="21"/>
        <v>Factor 5</v>
      </c>
      <c r="B247" s="19" t="str">
        <f>IF(IFERROR(HLOOKUP(B$2,$M$2:$BL247,$J247,FALSE),"")="","",IFERROR(HLOOKUP(B$2,$M$2:$BL247,$J247,FALSE),""))</f>
        <v/>
      </c>
      <c r="C247" s="19" t="str">
        <f>IF(IFERROR(HLOOKUP(C$2,$M$2:$BL247,$J247,FALSE),"")="","",IFERROR(HLOOKUP(C$2,$M$2:$BL247,$J247,FALSE),""))</f>
        <v/>
      </c>
      <c r="D247" s="19" t="str">
        <f>IF(IFERROR(HLOOKUP(D$2,$M$2:$BL247,$J247,FALSE),"")="","",IFERROR(HLOOKUP(D$2,$M$2:$BL247,$J247,FALSE),""))</f>
        <v/>
      </c>
      <c r="E247" s="19" t="str">
        <f>IF(IFERROR(HLOOKUP(E$2,$M$2:$BL247,$J247,FALSE),"")="","",IFERROR(HLOOKUP(E$2,$M$2:$BL247,$J247,FALSE),""))</f>
        <v/>
      </c>
      <c r="F247" s="19" t="str">
        <f>IF(IFERROR(HLOOKUP(F$2,$M$2:$BL247,$J247,FALSE),"")="","",IFERROR(HLOOKUP(F$2,$M$2:$BL247,$J247,FALSE),""))</f>
        <v/>
      </c>
      <c r="G247" s="19" t="str">
        <f>IF(IFERROR(HLOOKUP(G$2,$M$2:$BL247,$J247,FALSE),"")="","",IFERROR(HLOOKUP(G$2,$M$2:$BL247,$J247,FALSE),""))</f>
        <v/>
      </c>
    </row>
    <row r="248" spans="1:21">
      <c r="A248" s="16" t="str">
        <f t="shared" si="21"/>
        <v>AA and above</v>
      </c>
      <c r="B248" s="16" t="str">
        <f>IF(IFERROR(HLOOKUP(B$2,$M$2:$BL248,$J248,FALSE),"")="","",IFERROR(HLOOKUP(B$2,$M$2:$BL248,$J248,FALSE),""))</f>
        <v/>
      </c>
      <c r="C248" s="16" t="str">
        <f>IF(IFERROR(HLOOKUP(C$2,$M$2:$BL248,$J248,FALSE),"")="","",IFERROR(HLOOKUP(C$2,$M$2:$BL248,$J248,FALSE),""))</f>
        <v/>
      </c>
      <c r="D248" s="16" t="str">
        <f>IF(IFERROR(HLOOKUP(D$2,$M$2:$BL248,$J248,FALSE),"")="","",IFERROR(HLOOKUP(D$2,$M$2:$BL248,$J248,FALSE),""))</f>
        <v/>
      </c>
      <c r="E248" s="16" t="str">
        <f>IF(IFERROR(HLOOKUP(E$2,$M$2:$BL248,$J248,FALSE),"")="","",IFERROR(HLOOKUP(E$2,$M$2:$BL248,$J248,FALSE),""))</f>
        <v/>
      </c>
      <c r="F248" s="16" t="str">
        <f>IF(IFERROR(HLOOKUP(F$2,$M$2:$BL248,$J248,FALSE),"")="","",IFERROR(HLOOKUP(F$2,$M$2:$BL248,$J248,FALSE),""))</f>
        <v/>
      </c>
      <c r="G248" s="16" t="str">
        <f>IF(IFERROR(HLOOKUP(G$2,$M$2:$BL248,$J248,FALSE),"")="","",IFERROR(HLOOKUP(G$2,$M$2:$BL248,$J248,FALSE),""))</f>
        <v/>
      </c>
    </row>
    <row r="249" spans="1:21">
      <c r="A249" s="16" t="str">
        <f t="shared" si="21"/>
        <v>A</v>
      </c>
      <c r="B249" s="16" t="str">
        <f>IF(IFERROR(HLOOKUP(B$2,$M$2:$BL249,$J249,FALSE),"")="","",IFERROR(HLOOKUP(B$2,$M$2:$BL249,$J249,FALSE),""))</f>
        <v/>
      </c>
      <c r="C249" s="16" t="str">
        <f>IF(IFERROR(HLOOKUP(C$2,$M$2:$BL249,$J249,FALSE),"")="","",IFERROR(HLOOKUP(C$2,$M$2:$BL249,$J249,FALSE),""))</f>
        <v/>
      </c>
      <c r="D249" s="16" t="str">
        <f>IF(IFERROR(HLOOKUP(D$2,$M$2:$BL249,$J249,FALSE),"")="","",IFERROR(HLOOKUP(D$2,$M$2:$BL249,$J249,FALSE),""))</f>
        <v/>
      </c>
      <c r="E249" s="16" t="str">
        <f>IF(IFERROR(HLOOKUP(E$2,$M$2:$BL249,$J249,FALSE),"")="","",IFERROR(HLOOKUP(E$2,$M$2:$BL249,$J249,FALSE),""))</f>
        <v/>
      </c>
      <c r="F249" s="16" t="str">
        <f>IF(IFERROR(HLOOKUP(F$2,$M$2:$BL249,$J249,FALSE),"")="","",IFERROR(HLOOKUP(F$2,$M$2:$BL249,$J249,FALSE),""))</f>
        <v/>
      </c>
      <c r="G249" s="16" t="str">
        <f>IF(IFERROR(HLOOKUP(G$2,$M$2:$BL249,$J249,FALSE),"")="","",IFERROR(HLOOKUP(G$2,$M$2:$BL249,$J249,FALSE),""))</f>
        <v/>
      </c>
    </row>
    <row r="250" spans="1:21">
      <c r="A250" s="16" t="str">
        <f t="shared" si="21"/>
        <v>BBB</v>
      </c>
      <c r="B250" s="16" t="str">
        <f>IF(IFERROR(HLOOKUP(B$2,$M$2:$BL250,$J250,FALSE),"")="","",IFERROR(HLOOKUP(B$2,$M$2:$BL250,$J250,FALSE),""))</f>
        <v/>
      </c>
      <c r="C250" s="16" t="str">
        <f>IF(IFERROR(HLOOKUP(C$2,$M$2:$BL250,$J250,FALSE),"")="","",IFERROR(HLOOKUP(C$2,$M$2:$BL250,$J250,FALSE),""))</f>
        <v/>
      </c>
      <c r="D250" s="16" t="str">
        <f>IF(IFERROR(HLOOKUP(D$2,$M$2:$BL250,$J250,FALSE),"")="","",IFERROR(HLOOKUP(D$2,$M$2:$BL250,$J250,FALSE),""))</f>
        <v/>
      </c>
      <c r="E250" s="16" t="str">
        <f>IF(IFERROR(HLOOKUP(E$2,$M$2:$BL250,$J250,FALSE),"")="","",IFERROR(HLOOKUP(E$2,$M$2:$BL250,$J250,FALSE),""))</f>
        <v/>
      </c>
      <c r="F250" s="16" t="str">
        <f>IF(IFERROR(HLOOKUP(F$2,$M$2:$BL250,$J250,FALSE),"")="","",IFERROR(HLOOKUP(F$2,$M$2:$BL250,$J250,FALSE),""))</f>
        <v/>
      </c>
      <c r="G250" s="16" t="str">
        <f>IF(IFERROR(HLOOKUP(G$2,$M$2:$BL250,$J250,FALSE),"")="","",IFERROR(HLOOKUP(G$2,$M$2:$BL250,$J250,FALSE),""))</f>
        <v/>
      </c>
    </row>
    <row r="251" spans="1:21">
      <c r="A251" s="16" t="str">
        <f t="shared" si="21"/>
        <v>BB</v>
      </c>
      <c r="B251" s="16" t="str">
        <f>IF(IFERROR(HLOOKUP(B$2,$M$2:$BL251,$J251,FALSE),"")="","",IFERROR(HLOOKUP(B$2,$M$2:$BL251,$J251,FALSE),""))</f>
        <v/>
      </c>
      <c r="C251" s="16" t="str">
        <f>IF(IFERROR(HLOOKUP(C$2,$M$2:$BL251,$J251,FALSE),"")="","",IFERROR(HLOOKUP(C$2,$M$2:$BL251,$J251,FALSE),""))</f>
        <v/>
      </c>
      <c r="D251" s="16" t="str">
        <f>IF(IFERROR(HLOOKUP(D$2,$M$2:$BL251,$J251,FALSE),"")="","",IFERROR(HLOOKUP(D$2,$M$2:$BL251,$J251,FALSE),""))</f>
        <v/>
      </c>
      <c r="E251" s="16" t="str">
        <f>IF(IFERROR(HLOOKUP(E$2,$M$2:$BL251,$J251,FALSE),"")="","",IFERROR(HLOOKUP(E$2,$M$2:$BL251,$J251,FALSE),""))</f>
        <v/>
      </c>
      <c r="F251" s="16" t="str">
        <f>IF(IFERROR(HLOOKUP(F$2,$M$2:$BL251,$J251,FALSE),"")="","",IFERROR(HLOOKUP(F$2,$M$2:$BL251,$J251,FALSE),""))</f>
        <v/>
      </c>
      <c r="G251" s="16" t="str">
        <f>IF(IFERROR(HLOOKUP(G$2,$M$2:$BL251,$J251,FALSE),"")="","",IFERROR(HLOOKUP(G$2,$M$2:$BL251,$J251,FALSE),""))</f>
        <v/>
      </c>
    </row>
    <row r="252" spans="1:21">
      <c r="A252" s="16" t="str">
        <f t="shared" si="21"/>
        <v>B</v>
      </c>
      <c r="B252" s="16" t="str">
        <f>IF(IFERROR(HLOOKUP(B$2,$M$2:$BL252,$J252,FALSE),"")="","",IFERROR(HLOOKUP(B$2,$M$2:$BL252,$J252,FALSE),""))</f>
        <v/>
      </c>
      <c r="C252" s="16" t="str">
        <f>IF(IFERROR(HLOOKUP(C$2,$M$2:$BL252,$J252,FALSE),"")="","",IFERROR(HLOOKUP(C$2,$M$2:$BL252,$J252,FALSE),""))</f>
        <v/>
      </c>
      <c r="D252" s="16" t="str">
        <f>IF(IFERROR(HLOOKUP(D$2,$M$2:$BL252,$J252,FALSE),"")="","",IFERROR(HLOOKUP(D$2,$M$2:$BL252,$J252,FALSE),""))</f>
        <v/>
      </c>
      <c r="E252" s="16" t="str">
        <f>IF(IFERROR(HLOOKUP(E$2,$M$2:$BL252,$J252,FALSE),"")="","",IFERROR(HLOOKUP(E$2,$M$2:$BL252,$J252,FALSE),""))</f>
        <v/>
      </c>
      <c r="F252" s="16" t="str">
        <f>IF(IFERROR(HLOOKUP(F$2,$M$2:$BL252,$J252,FALSE),"")="","",IFERROR(HLOOKUP(F$2,$M$2:$BL252,$J252,FALSE),""))</f>
        <v/>
      </c>
      <c r="G252" s="16" t="str">
        <f>IF(IFERROR(HLOOKUP(G$2,$M$2:$BL252,$J252,FALSE),"")="","",IFERROR(HLOOKUP(G$2,$M$2:$BL252,$J252,FALSE),""))</f>
        <v/>
      </c>
    </row>
    <row r="253" spans="1:21">
      <c r="A253" s="16" t="str">
        <f t="shared" si="21"/>
        <v>CCC and below</v>
      </c>
      <c r="B253" s="16" t="str">
        <f>IF(IFERROR(HLOOKUP(B$2,$M$2:$BL253,$J253,FALSE),"")="","",IFERROR(HLOOKUP(B$2,$M$2:$BL253,$J253,FALSE),""))</f>
        <v/>
      </c>
      <c r="C253" s="16" t="str">
        <f>IF(IFERROR(HLOOKUP(C$2,$M$2:$BL253,$J253,FALSE),"")="","",IFERROR(HLOOKUP(C$2,$M$2:$BL253,$J253,FALSE),""))</f>
        <v/>
      </c>
      <c r="D253" s="16" t="str">
        <f>IF(IFERROR(HLOOKUP(D$2,$M$2:$BL253,$J253,FALSE),"")="","",IFERROR(HLOOKUP(D$2,$M$2:$BL253,$J253,FALSE),""))</f>
        <v/>
      </c>
      <c r="E253" s="16" t="str">
        <f>IF(IFERROR(HLOOKUP(E$2,$M$2:$BL253,$J253,FALSE),"")="","",IFERROR(HLOOKUP(E$2,$M$2:$BL253,$J253,FALSE),""))</f>
        <v/>
      </c>
      <c r="F253" s="16" t="str">
        <f>IF(IFERROR(HLOOKUP(F$2,$M$2:$BL253,$J253,FALSE),"")="","",IFERROR(HLOOKUP(F$2,$M$2:$BL253,$J253,FALSE),""))</f>
        <v/>
      </c>
      <c r="G253" s="16" t="str">
        <f>IF(IFERROR(HLOOKUP(G$2,$M$2:$BL253,$J253,FALSE),"")="","",IFERROR(HLOOKUP(G$2,$M$2:$BL253,$J253,FALSE),""))</f>
        <v/>
      </c>
    </row>
    <row r="256" spans="1:21">
      <c r="A256" s="24" t="s">
        <v>886</v>
      </c>
      <c r="U256" s="18" t="s">
        <v>887</v>
      </c>
    </row>
    <row r="257" spans="1:21" s="19" customFormat="1">
      <c r="A257" s="22" t="str">
        <f t="shared" ref="A257:A291" si="22">+A219</f>
        <v>Factor 1</v>
      </c>
      <c r="B257" s="19" t="str">
        <f>IF(IFERROR(HLOOKUP(B$2,$M$2:$BL257,$J257,FALSE),"")="","",IFERROR(HLOOKUP(B$2,$M$2:$BL257,$J257,FALSE),""))</f>
        <v/>
      </c>
      <c r="C257" s="19" t="str">
        <f>IF(IFERROR(HLOOKUP(C$2,$M$2:$BL257,$J257,FALSE),"")="","",IFERROR(HLOOKUP(C$2,$M$2:$BL257,$J257,FALSE),""))</f>
        <v/>
      </c>
      <c r="D257" s="19" t="str">
        <f>IF(IFERROR(HLOOKUP(D$2,$M$2:$BL257,$J257,FALSE),"")="","",IFERROR(HLOOKUP(D$2,$M$2:$BL257,$J257,FALSE),""))</f>
        <v/>
      </c>
      <c r="E257" s="19" t="str">
        <f>IF(IFERROR(HLOOKUP(E$2,$M$2:$BL257,$J257,FALSE),"")="","",IFERROR(HLOOKUP(E$2,$M$2:$BL257,$J257,FALSE),""))</f>
        <v/>
      </c>
      <c r="F257" s="19" t="str">
        <f>IF(IFERROR(HLOOKUP(F$2,$M$2:$BL257,$J257,FALSE),"")="","",IFERROR(HLOOKUP(F$2,$M$2:$BL257,$J257,FALSE),""))</f>
        <v/>
      </c>
      <c r="G257" s="19" t="str">
        <f>IF(IFERROR(HLOOKUP(G$2,$M$2:$BL257,$J257,FALSE),"")="","",IFERROR(HLOOKUP(G$2,$M$2:$BL257,$J257,FALSE),""))</f>
        <v/>
      </c>
      <c r="U257" s="19" t="s">
        <v>888</v>
      </c>
    </row>
    <row r="258" spans="1:21">
      <c r="A258" s="16" t="str">
        <f t="shared" si="22"/>
        <v>AA and above</v>
      </c>
      <c r="B258" s="16" t="str">
        <f>IF(IFERROR(HLOOKUP(B$2,$M$2:$BL258,$J258,FALSE),"")="","",IFERROR(HLOOKUP(B$2,$M$2:$BL258,$J258,FALSE),""))</f>
        <v/>
      </c>
      <c r="C258" s="16" t="str">
        <f>IF(IFERROR(HLOOKUP(C$2,$M$2:$BL258,$J258,FALSE),"")="","",IFERROR(HLOOKUP(C$2,$M$2:$BL258,$J258,FALSE),""))</f>
        <v/>
      </c>
      <c r="D258" s="16" t="str">
        <f>IF(IFERROR(HLOOKUP(D$2,$M$2:$BL258,$J258,FALSE),"")="","",IFERROR(HLOOKUP(D$2,$M$2:$BL258,$J258,FALSE),""))</f>
        <v/>
      </c>
      <c r="E258" s="16" t="str">
        <f>IF(IFERROR(HLOOKUP(E$2,$M$2:$BL258,$J258,FALSE),"")="","",IFERROR(HLOOKUP(E$2,$M$2:$BL258,$J258,FALSE),""))</f>
        <v/>
      </c>
      <c r="F258" s="16" t="str">
        <f>IF(IFERROR(HLOOKUP(F$2,$M$2:$BL258,$J258,FALSE),"")="","",IFERROR(HLOOKUP(F$2,$M$2:$BL258,$J258,FALSE),""))</f>
        <v/>
      </c>
      <c r="G258" s="16" t="str">
        <f>IF(IFERROR(HLOOKUP(G$2,$M$2:$BL258,$J258,FALSE),"")="","",IFERROR(HLOOKUP(G$2,$M$2:$BL258,$J258,FALSE),""))</f>
        <v/>
      </c>
      <c r="U258" s="16" t="s">
        <v>761</v>
      </c>
    </row>
    <row r="259" spans="1:21">
      <c r="A259" s="16" t="str">
        <f t="shared" si="22"/>
        <v>A</v>
      </c>
      <c r="B259" s="16" t="str">
        <f>IF(IFERROR(HLOOKUP(B$2,$M$2:$BL259,$J259,FALSE),"")="","",IFERROR(HLOOKUP(B$2,$M$2:$BL259,$J259,FALSE),""))</f>
        <v/>
      </c>
      <c r="C259" s="16" t="str">
        <f>IF(IFERROR(HLOOKUP(C$2,$M$2:$BL259,$J259,FALSE),"")="","",IFERROR(HLOOKUP(C$2,$M$2:$BL259,$J259,FALSE),""))</f>
        <v/>
      </c>
      <c r="D259" s="16" t="str">
        <f>IF(IFERROR(HLOOKUP(D$2,$M$2:$BL259,$J259,FALSE),"")="","",IFERROR(HLOOKUP(D$2,$M$2:$BL259,$J259,FALSE),""))</f>
        <v/>
      </c>
      <c r="E259" s="16" t="str">
        <f>IF(IFERROR(HLOOKUP(E$2,$M$2:$BL259,$J259,FALSE),"")="","",IFERROR(HLOOKUP(E$2,$M$2:$BL259,$J259,FALSE),""))</f>
        <v/>
      </c>
      <c r="F259" s="16" t="str">
        <f>IF(IFERROR(HLOOKUP(F$2,$M$2:$BL259,$J259,FALSE),"")="","",IFERROR(HLOOKUP(F$2,$M$2:$BL259,$J259,FALSE),""))</f>
        <v/>
      </c>
      <c r="G259" s="16" t="str">
        <f>IF(IFERROR(HLOOKUP(G$2,$M$2:$BL259,$J259,FALSE),"")="","",IFERROR(HLOOKUP(G$2,$M$2:$BL259,$J259,FALSE),""))</f>
        <v/>
      </c>
      <c r="U259" s="16" t="s">
        <v>761</v>
      </c>
    </row>
    <row r="260" spans="1:21">
      <c r="A260" s="16" t="str">
        <f t="shared" si="22"/>
        <v>BBB</v>
      </c>
      <c r="B260" s="16" t="str">
        <f>IF(IFERROR(HLOOKUP(B$2,$M$2:$BL260,$J260,FALSE),"")="","",IFERROR(HLOOKUP(B$2,$M$2:$BL260,$J260,FALSE),""))</f>
        <v/>
      </c>
      <c r="C260" s="16" t="str">
        <f>IF(IFERROR(HLOOKUP(C$2,$M$2:$BL260,$J260,FALSE),"")="","",IFERROR(HLOOKUP(C$2,$M$2:$BL260,$J260,FALSE),""))</f>
        <v/>
      </c>
      <c r="D260" s="16" t="str">
        <f>IF(IFERROR(HLOOKUP(D$2,$M$2:$BL260,$J260,FALSE),"")="","",IFERROR(HLOOKUP(D$2,$M$2:$BL260,$J260,FALSE),""))</f>
        <v/>
      </c>
      <c r="E260" s="16" t="str">
        <f>IF(IFERROR(HLOOKUP(E$2,$M$2:$BL260,$J260,FALSE),"")="","",IFERROR(HLOOKUP(E$2,$M$2:$BL260,$J260,FALSE),""))</f>
        <v/>
      </c>
      <c r="F260" s="16" t="str">
        <f>IF(IFERROR(HLOOKUP(F$2,$M$2:$BL260,$J260,FALSE),"")="","",IFERROR(HLOOKUP(F$2,$M$2:$BL260,$J260,FALSE),""))</f>
        <v/>
      </c>
      <c r="G260" s="16" t="str">
        <f>IF(IFERROR(HLOOKUP(G$2,$M$2:$BL260,$J260,FALSE),"")="","",IFERROR(HLOOKUP(G$2,$M$2:$BL260,$J260,FALSE),""))</f>
        <v/>
      </c>
      <c r="U260" s="16" t="s">
        <v>761</v>
      </c>
    </row>
    <row r="261" spans="1:21">
      <c r="A261" s="16" t="str">
        <f t="shared" si="22"/>
        <v>BB</v>
      </c>
      <c r="B261" s="16" t="str">
        <f>IF(IFERROR(HLOOKUP(B$2,$M$2:$BL261,$J261,FALSE),"")="","",IFERROR(HLOOKUP(B$2,$M$2:$BL261,$J261,FALSE),""))</f>
        <v/>
      </c>
      <c r="C261" s="16" t="str">
        <f>IF(IFERROR(HLOOKUP(C$2,$M$2:$BL261,$J261,FALSE),"")="","",IFERROR(HLOOKUP(C$2,$M$2:$BL261,$J261,FALSE),""))</f>
        <v/>
      </c>
      <c r="D261" s="16" t="str">
        <f>IF(IFERROR(HLOOKUP(D$2,$M$2:$BL261,$J261,FALSE),"")="","",IFERROR(HLOOKUP(D$2,$M$2:$BL261,$J261,FALSE),""))</f>
        <v/>
      </c>
      <c r="E261" s="16" t="str">
        <f>IF(IFERROR(HLOOKUP(E$2,$M$2:$BL261,$J261,FALSE),"")="","",IFERROR(HLOOKUP(E$2,$M$2:$BL261,$J261,FALSE),""))</f>
        <v/>
      </c>
      <c r="F261" s="16" t="str">
        <f>IF(IFERROR(HLOOKUP(F$2,$M$2:$BL261,$J261,FALSE),"")="","",IFERROR(HLOOKUP(F$2,$M$2:$BL261,$J261,FALSE),""))</f>
        <v/>
      </c>
      <c r="G261" s="16" t="str">
        <f>IF(IFERROR(HLOOKUP(G$2,$M$2:$BL261,$J261,FALSE),"")="","",IFERROR(HLOOKUP(G$2,$M$2:$BL261,$J261,FALSE),""))</f>
        <v/>
      </c>
      <c r="U261" s="16" t="s">
        <v>889</v>
      </c>
    </row>
    <row r="262" spans="1:21">
      <c r="A262" s="16" t="str">
        <f t="shared" si="22"/>
        <v>B</v>
      </c>
      <c r="B262" s="16" t="str">
        <f>IF(IFERROR(HLOOKUP(B$2,$M$2:$BL262,$J262,FALSE),"")="","",IFERROR(HLOOKUP(B$2,$M$2:$BL262,$J262,FALSE),""))</f>
        <v/>
      </c>
      <c r="C262" s="16" t="str">
        <f>IF(IFERROR(HLOOKUP(C$2,$M$2:$BL262,$J262,FALSE),"")="","",IFERROR(HLOOKUP(C$2,$M$2:$BL262,$J262,FALSE),""))</f>
        <v/>
      </c>
      <c r="D262" s="16" t="str">
        <f>IF(IFERROR(HLOOKUP(D$2,$M$2:$BL262,$J262,FALSE),"")="","",IFERROR(HLOOKUP(D$2,$M$2:$BL262,$J262,FALSE),""))</f>
        <v/>
      </c>
      <c r="E262" s="16" t="str">
        <f>IF(IFERROR(HLOOKUP(E$2,$M$2:$BL262,$J262,FALSE),"")="","",IFERROR(HLOOKUP(E$2,$M$2:$BL262,$J262,FALSE),""))</f>
        <v/>
      </c>
      <c r="F262" s="16" t="str">
        <f>IF(IFERROR(HLOOKUP(F$2,$M$2:$BL262,$J262,FALSE),"")="","",IFERROR(HLOOKUP(F$2,$M$2:$BL262,$J262,FALSE),""))</f>
        <v/>
      </c>
      <c r="G262" s="16" t="str">
        <f>IF(IFERROR(HLOOKUP(G$2,$M$2:$BL262,$J262,FALSE),"")="","",IFERROR(HLOOKUP(G$2,$M$2:$BL262,$J262,FALSE),""))</f>
        <v/>
      </c>
      <c r="U262" s="16" t="s">
        <v>889</v>
      </c>
    </row>
    <row r="263" spans="1:21">
      <c r="A263" s="16" t="str">
        <f t="shared" si="22"/>
        <v>CCC and below</v>
      </c>
      <c r="B263" s="16" t="str">
        <f>IF(IFERROR(HLOOKUP(B$2,$M$2:$BL263,$J263,FALSE),"")="","",IFERROR(HLOOKUP(B$2,$M$2:$BL263,$J263,FALSE),""))</f>
        <v/>
      </c>
      <c r="C263" s="16" t="str">
        <f>IF(IFERROR(HLOOKUP(C$2,$M$2:$BL263,$J263,FALSE),"")="","",IFERROR(HLOOKUP(C$2,$M$2:$BL263,$J263,FALSE),""))</f>
        <v/>
      </c>
      <c r="D263" s="16" t="str">
        <f>IF(IFERROR(HLOOKUP(D$2,$M$2:$BL263,$J263,FALSE),"")="","",IFERROR(HLOOKUP(D$2,$M$2:$BL263,$J263,FALSE),""))</f>
        <v/>
      </c>
      <c r="E263" s="16" t="str">
        <f>IF(IFERROR(HLOOKUP(E$2,$M$2:$BL263,$J263,FALSE),"")="","",IFERROR(HLOOKUP(E$2,$M$2:$BL263,$J263,FALSE),""))</f>
        <v/>
      </c>
      <c r="F263" s="16" t="str">
        <f>IF(IFERROR(HLOOKUP(F$2,$M$2:$BL263,$J263,FALSE),"")="","",IFERROR(HLOOKUP(F$2,$M$2:$BL263,$J263,FALSE),""))</f>
        <v/>
      </c>
      <c r="G263" s="16" t="str">
        <f>IF(IFERROR(HLOOKUP(G$2,$M$2:$BL263,$J263,FALSE),"")="","",IFERROR(HLOOKUP(G$2,$M$2:$BL263,$J263,FALSE),""))</f>
        <v/>
      </c>
      <c r="U263" s="16" t="s">
        <v>103</v>
      </c>
    </row>
    <row r="264" spans="1:21" s="19" customFormat="1">
      <c r="A264" s="22" t="str">
        <f t="shared" si="22"/>
        <v>Factor 2</v>
      </c>
      <c r="B264" s="19" t="str">
        <f>IF(IFERROR(HLOOKUP(B$2,$M$2:$BL264,$J264,FALSE),"")="","",IFERROR(HLOOKUP(B$2,$M$2:$BL264,$J264,FALSE),""))</f>
        <v/>
      </c>
      <c r="C264" s="19" t="str">
        <f>IF(IFERROR(HLOOKUP(C$2,$M$2:$BL264,$J264,FALSE),"")="","",IFERROR(HLOOKUP(C$2,$M$2:$BL264,$J264,FALSE),""))</f>
        <v/>
      </c>
      <c r="D264" s="19" t="str">
        <f>IF(IFERROR(HLOOKUP(D$2,$M$2:$BL264,$J264,FALSE),"")="","",IFERROR(HLOOKUP(D$2,$M$2:$BL264,$J264,FALSE),""))</f>
        <v/>
      </c>
      <c r="E264" s="19" t="str">
        <f>IF(IFERROR(HLOOKUP(E$2,$M$2:$BL264,$J264,FALSE),"")="","",IFERROR(HLOOKUP(E$2,$M$2:$BL264,$J264,FALSE),""))</f>
        <v/>
      </c>
      <c r="F264" s="19" t="str">
        <f>IF(IFERROR(HLOOKUP(F$2,$M$2:$BL264,$J264,FALSE),"")="","",IFERROR(HLOOKUP(F$2,$M$2:$BL264,$J264,FALSE),""))</f>
        <v/>
      </c>
      <c r="G264" s="19" t="str">
        <f>IF(IFERROR(HLOOKUP(G$2,$M$2:$BL264,$J264,FALSE),"")="","",IFERROR(HLOOKUP(G$2,$M$2:$BL264,$J264,FALSE),""))</f>
        <v/>
      </c>
      <c r="U264" s="19" t="s">
        <v>890</v>
      </c>
    </row>
    <row r="265" spans="1:21">
      <c r="A265" s="16" t="str">
        <f t="shared" si="22"/>
        <v>AA and above</v>
      </c>
      <c r="B265" s="16" t="str">
        <f>IF(IFERROR(HLOOKUP(B$2,$M$2:$BL265,$J265,FALSE),"")="","",IFERROR(HLOOKUP(B$2,$M$2:$BL265,$J265,FALSE),""))</f>
        <v/>
      </c>
      <c r="C265" s="16" t="str">
        <f>IF(IFERROR(HLOOKUP(C$2,$M$2:$BL265,$J265,FALSE),"")="","",IFERROR(HLOOKUP(C$2,$M$2:$BL265,$J265,FALSE),""))</f>
        <v/>
      </c>
      <c r="D265" s="16" t="str">
        <f>IF(IFERROR(HLOOKUP(D$2,$M$2:$BL265,$J265,FALSE),"")="","",IFERROR(HLOOKUP(D$2,$M$2:$BL265,$J265,FALSE),""))</f>
        <v/>
      </c>
      <c r="E265" s="16" t="str">
        <f>IF(IFERROR(HLOOKUP(E$2,$M$2:$BL265,$J265,FALSE),"")="","",IFERROR(HLOOKUP(E$2,$M$2:$BL265,$J265,FALSE),""))</f>
        <v/>
      </c>
      <c r="F265" s="16" t="str">
        <f>IF(IFERROR(HLOOKUP(F$2,$M$2:$BL265,$J265,FALSE),"")="","",IFERROR(HLOOKUP(F$2,$M$2:$BL265,$J265,FALSE),""))</f>
        <v/>
      </c>
      <c r="G265" s="16" t="str">
        <f>IF(IFERROR(HLOOKUP(G$2,$M$2:$BL265,$J265,FALSE),"")="","",IFERROR(HLOOKUP(G$2,$M$2:$BL265,$J265,FALSE),""))</f>
        <v/>
      </c>
      <c r="U265" s="16" t="s">
        <v>891</v>
      </c>
    </row>
    <row r="266" spans="1:21">
      <c r="A266" s="16" t="str">
        <f t="shared" si="22"/>
        <v>A</v>
      </c>
      <c r="B266" s="16" t="str">
        <f>IF(IFERROR(HLOOKUP(B$2,$M$2:$BL266,$J266,FALSE),"")="","",IFERROR(HLOOKUP(B$2,$M$2:$BL266,$J266,FALSE),""))</f>
        <v/>
      </c>
      <c r="C266" s="16" t="str">
        <f>IF(IFERROR(HLOOKUP(C$2,$M$2:$BL266,$J266,FALSE),"")="","",IFERROR(HLOOKUP(C$2,$M$2:$BL266,$J266,FALSE),""))</f>
        <v/>
      </c>
      <c r="D266" s="16" t="str">
        <f>IF(IFERROR(HLOOKUP(D$2,$M$2:$BL266,$J266,FALSE),"")="","",IFERROR(HLOOKUP(D$2,$M$2:$BL266,$J266,FALSE),""))</f>
        <v/>
      </c>
      <c r="E266" s="16" t="str">
        <f>IF(IFERROR(HLOOKUP(E$2,$M$2:$BL266,$J266,FALSE),"")="","",IFERROR(HLOOKUP(E$2,$M$2:$BL266,$J266,FALSE),""))</f>
        <v/>
      </c>
      <c r="F266" s="16" t="str">
        <f>IF(IFERROR(HLOOKUP(F$2,$M$2:$BL266,$J266,FALSE),"")="","",IFERROR(HLOOKUP(F$2,$M$2:$BL266,$J266,FALSE),""))</f>
        <v/>
      </c>
      <c r="G266" s="16" t="str">
        <f>IF(IFERROR(HLOOKUP(G$2,$M$2:$BL266,$J266,FALSE),"")="","",IFERROR(HLOOKUP(G$2,$M$2:$BL266,$J266,FALSE),""))</f>
        <v/>
      </c>
      <c r="U266" s="16" t="s">
        <v>891</v>
      </c>
    </row>
    <row r="267" spans="1:21" ht="12.75" customHeight="1">
      <c r="A267" s="16" t="str">
        <f t="shared" si="22"/>
        <v>BBB</v>
      </c>
      <c r="B267" s="16" t="str">
        <f>IF(IFERROR(HLOOKUP(B$2,$M$2:$BL267,$J267,FALSE),"")="","",IFERROR(HLOOKUP(B$2,$M$2:$BL267,$J267,FALSE),""))</f>
        <v/>
      </c>
      <c r="C267" s="16" t="str">
        <f>IF(IFERROR(HLOOKUP(C$2,$M$2:$BL267,$J267,FALSE),"")="","",IFERROR(HLOOKUP(C$2,$M$2:$BL267,$J267,FALSE),""))</f>
        <v/>
      </c>
      <c r="D267" s="16" t="str">
        <f>IF(IFERROR(HLOOKUP(D$2,$M$2:$BL267,$J267,FALSE),"")="","",IFERROR(HLOOKUP(D$2,$M$2:$BL267,$J267,FALSE),""))</f>
        <v/>
      </c>
      <c r="E267" s="16" t="str">
        <f>IF(IFERROR(HLOOKUP(E$2,$M$2:$BL267,$J267,FALSE),"")="","",IFERROR(HLOOKUP(E$2,$M$2:$BL267,$J267,FALSE),""))</f>
        <v/>
      </c>
      <c r="F267" s="16" t="str">
        <f>IF(IFERROR(HLOOKUP(F$2,$M$2:$BL267,$J267,FALSE),"")="","",IFERROR(HLOOKUP(F$2,$M$2:$BL267,$J267,FALSE),""))</f>
        <v/>
      </c>
      <c r="G267" s="16" t="str">
        <f>IF(IFERROR(HLOOKUP(G$2,$M$2:$BL267,$J267,FALSE),"")="","",IFERROR(HLOOKUP(G$2,$M$2:$BL267,$J267,FALSE),""))</f>
        <v/>
      </c>
      <c r="U267" s="16" t="s">
        <v>891</v>
      </c>
    </row>
    <row r="268" spans="1:21" ht="12.75" customHeight="1">
      <c r="A268" s="16" t="str">
        <f t="shared" si="22"/>
        <v>BB</v>
      </c>
      <c r="B268" s="16" t="str">
        <f>IF(IFERROR(HLOOKUP(B$2,$M$2:$BL268,$J268,FALSE),"")="","",IFERROR(HLOOKUP(B$2,$M$2:$BL268,$J268,FALSE),""))</f>
        <v/>
      </c>
      <c r="C268" s="16" t="str">
        <f>IF(IFERROR(HLOOKUP(C$2,$M$2:$BL268,$J268,FALSE),"")="","",IFERROR(HLOOKUP(C$2,$M$2:$BL268,$J268,FALSE),""))</f>
        <v/>
      </c>
      <c r="D268" s="16" t="str">
        <f>IF(IFERROR(HLOOKUP(D$2,$M$2:$BL268,$J268,FALSE),"")="","",IFERROR(HLOOKUP(D$2,$M$2:$BL268,$J268,FALSE),""))</f>
        <v/>
      </c>
      <c r="E268" s="16" t="str">
        <f>IF(IFERROR(HLOOKUP(E$2,$M$2:$BL268,$J268,FALSE),"")="","",IFERROR(HLOOKUP(E$2,$M$2:$BL268,$J268,FALSE),""))</f>
        <v/>
      </c>
      <c r="F268" s="16" t="str">
        <f>IF(IFERROR(HLOOKUP(F$2,$M$2:$BL268,$J268,FALSE),"")="","",IFERROR(HLOOKUP(F$2,$M$2:$BL268,$J268,FALSE),""))</f>
        <v/>
      </c>
      <c r="G268" s="16" t="str">
        <f>IF(IFERROR(HLOOKUP(G$2,$M$2:$BL268,$J268,FALSE),"")="","",IFERROR(HLOOKUP(G$2,$M$2:$BL268,$J268,FALSE),""))</f>
        <v/>
      </c>
      <c r="U268" s="27" t="s">
        <v>892</v>
      </c>
    </row>
    <row r="269" spans="1:21" ht="12.75" customHeight="1">
      <c r="A269" s="16" t="str">
        <f t="shared" si="22"/>
        <v>B</v>
      </c>
      <c r="B269" s="16" t="str">
        <f>IF(IFERROR(HLOOKUP(B$2,$M$2:$BL269,$J269,FALSE),"")="","",IFERROR(HLOOKUP(B$2,$M$2:$BL269,$J269,FALSE),""))</f>
        <v/>
      </c>
      <c r="C269" s="16" t="str">
        <f>IF(IFERROR(HLOOKUP(C$2,$M$2:$BL269,$J269,FALSE),"")="","",IFERROR(HLOOKUP(C$2,$M$2:$BL269,$J269,FALSE),""))</f>
        <v/>
      </c>
      <c r="D269" s="16" t="str">
        <f>IF(IFERROR(HLOOKUP(D$2,$M$2:$BL269,$J269,FALSE),"")="","",IFERROR(HLOOKUP(D$2,$M$2:$BL269,$J269,FALSE),""))</f>
        <v/>
      </c>
      <c r="E269" s="16" t="str">
        <f>IF(IFERROR(HLOOKUP(E$2,$M$2:$BL269,$J269,FALSE),"")="","",IFERROR(HLOOKUP(E$2,$M$2:$BL269,$J269,FALSE),""))</f>
        <v/>
      </c>
      <c r="F269" s="16" t="str">
        <f>IF(IFERROR(HLOOKUP(F$2,$M$2:$BL269,$J269,FALSE),"")="","",IFERROR(HLOOKUP(F$2,$M$2:$BL269,$J269,FALSE),""))</f>
        <v/>
      </c>
      <c r="G269" s="16" t="str">
        <f>IF(IFERROR(HLOOKUP(G$2,$M$2:$BL269,$J269,FALSE),"")="","",IFERROR(HLOOKUP(G$2,$M$2:$BL269,$J269,FALSE),""))</f>
        <v/>
      </c>
      <c r="U269" s="27" t="s">
        <v>892</v>
      </c>
    </row>
    <row r="270" spans="1:21">
      <c r="A270" s="16" t="str">
        <f t="shared" si="22"/>
        <v>CCC and below</v>
      </c>
      <c r="B270" s="16" t="str">
        <f>IF(IFERROR(HLOOKUP(B$2,$M$2:$BL270,$J270,FALSE),"")="","",IFERROR(HLOOKUP(B$2,$M$2:$BL270,$J270,FALSE),""))</f>
        <v/>
      </c>
      <c r="C270" s="16" t="str">
        <f>IF(IFERROR(HLOOKUP(C$2,$M$2:$BL270,$J270,FALSE),"")="","",IFERROR(HLOOKUP(C$2,$M$2:$BL270,$J270,FALSE),""))</f>
        <v/>
      </c>
      <c r="D270" s="16" t="str">
        <f>IF(IFERROR(HLOOKUP(D$2,$M$2:$BL270,$J270,FALSE),"")="","",IFERROR(HLOOKUP(D$2,$M$2:$BL270,$J270,FALSE),""))</f>
        <v/>
      </c>
      <c r="E270" s="16" t="str">
        <f>IF(IFERROR(HLOOKUP(E$2,$M$2:$BL270,$J270,FALSE),"")="","",IFERROR(HLOOKUP(E$2,$M$2:$BL270,$J270,FALSE),""))</f>
        <v/>
      </c>
      <c r="F270" s="16" t="str">
        <f>IF(IFERROR(HLOOKUP(F$2,$M$2:$BL270,$J270,FALSE),"")="","",IFERROR(HLOOKUP(F$2,$M$2:$BL270,$J270,FALSE),""))</f>
        <v/>
      </c>
      <c r="G270" s="16" t="str">
        <f>IF(IFERROR(HLOOKUP(G$2,$M$2:$BL270,$J270,FALSE),"")="","",IFERROR(HLOOKUP(G$2,$M$2:$BL270,$J270,FALSE),""))</f>
        <v/>
      </c>
      <c r="U270" s="16" t="s">
        <v>103</v>
      </c>
    </row>
    <row r="271" spans="1:21" s="19" customFormat="1">
      <c r="A271" s="22" t="str">
        <f t="shared" si="22"/>
        <v>Factor 3</v>
      </c>
      <c r="B271" s="19" t="str">
        <f>IF(IFERROR(HLOOKUP(B$2,$M$2:$BL271,$J271,FALSE),"")="","",IFERROR(HLOOKUP(B$2,$M$2:$BL271,$J271,FALSE),""))</f>
        <v/>
      </c>
      <c r="C271" s="19" t="str">
        <f>IF(IFERROR(HLOOKUP(C$2,$M$2:$BL271,$J271,FALSE),"")="","",IFERROR(HLOOKUP(C$2,$M$2:$BL271,$J271,FALSE),""))</f>
        <v/>
      </c>
      <c r="D271" s="19" t="str">
        <f>IF(IFERROR(HLOOKUP(D$2,$M$2:$BL271,$J271,FALSE),"")="","",IFERROR(HLOOKUP(D$2,$M$2:$BL271,$J271,FALSE),""))</f>
        <v/>
      </c>
      <c r="E271" s="19" t="str">
        <f>IF(IFERROR(HLOOKUP(E$2,$M$2:$BL271,$J271,FALSE),"")="","",IFERROR(HLOOKUP(E$2,$M$2:$BL271,$J271,FALSE),""))</f>
        <v/>
      </c>
      <c r="F271" s="19" t="str">
        <f>IF(IFERROR(HLOOKUP(F$2,$M$2:$BL271,$J271,FALSE),"")="","",IFERROR(HLOOKUP(F$2,$M$2:$BL271,$J271,FALSE),""))</f>
        <v/>
      </c>
      <c r="G271" s="19" t="str">
        <f>IF(IFERROR(HLOOKUP(G$2,$M$2:$BL271,$J271,FALSE),"")="","",IFERROR(HLOOKUP(G$2,$M$2:$BL271,$J271,FALSE),""))</f>
        <v/>
      </c>
    </row>
    <row r="272" spans="1:21">
      <c r="A272" s="16" t="str">
        <f t="shared" si="22"/>
        <v>AA and above</v>
      </c>
      <c r="B272" s="16" t="str">
        <f>IF(IFERROR(HLOOKUP(B$2,$M$2:$BL272,$J272,FALSE),"")="","",IFERROR(HLOOKUP(B$2,$M$2:$BL272,$J272,FALSE),""))</f>
        <v/>
      </c>
      <c r="C272" s="16" t="str">
        <f>IF(IFERROR(HLOOKUP(C$2,$M$2:$BL272,$J272,FALSE),"")="","",IFERROR(HLOOKUP(C$2,$M$2:$BL272,$J272,FALSE),""))</f>
        <v/>
      </c>
      <c r="D272" s="16" t="str">
        <f>IF(IFERROR(HLOOKUP(D$2,$M$2:$BL272,$J272,FALSE),"")="","",IFERROR(HLOOKUP(D$2,$M$2:$BL272,$J272,FALSE),""))</f>
        <v/>
      </c>
      <c r="E272" s="16" t="str">
        <f>IF(IFERROR(HLOOKUP(E$2,$M$2:$BL272,$J272,FALSE),"")="","",IFERROR(HLOOKUP(E$2,$M$2:$BL272,$J272,FALSE),""))</f>
        <v/>
      </c>
      <c r="F272" s="16" t="str">
        <f>IF(IFERROR(HLOOKUP(F$2,$M$2:$BL272,$J272,FALSE),"")="","",IFERROR(HLOOKUP(F$2,$M$2:$BL272,$J272,FALSE),""))</f>
        <v/>
      </c>
      <c r="G272" s="16" t="str">
        <f>IF(IFERROR(HLOOKUP(G$2,$M$2:$BL272,$J272,FALSE),"")="","",IFERROR(HLOOKUP(G$2,$M$2:$BL272,$J272,FALSE),""))</f>
        <v/>
      </c>
    </row>
    <row r="273" spans="1:7">
      <c r="A273" s="16" t="str">
        <f t="shared" si="22"/>
        <v>A</v>
      </c>
      <c r="B273" s="16" t="str">
        <f>IF(IFERROR(HLOOKUP(B$2,$M$2:$BL273,$J273,FALSE),"")="","",IFERROR(HLOOKUP(B$2,$M$2:$BL273,$J273,FALSE),""))</f>
        <v/>
      </c>
      <c r="C273" s="16" t="str">
        <f>IF(IFERROR(HLOOKUP(C$2,$M$2:$BL273,$J273,FALSE),"")="","",IFERROR(HLOOKUP(C$2,$M$2:$BL273,$J273,FALSE),""))</f>
        <v/>
      </c>
      <c r="D273" s="16" t="str">
        <f>IF(IFERROR(HLOOKUP(D$2,$M$2:$BL273,$J273,FALSE),"")="","",IFERROR(HLOOKUP(D$2,$M$2:$BL273,$J273,FALSE),""))</f>
        <v/>
      </c>
      <c r="E273" s="16" t="str">
        <f>IF(IFERROR(HLOOKUP(E$2,$M$2:$BL273,$J273,FALSE),"")="","",IFERROR(HLOOKUP(E$2,$M$2:$BL273,$J273,FALSE),""))</f>
        <v/>
      </c>
      <c r="F273" s="16" t="str">
        <f>IF(IFERROR(HLOOKUP(F$2,$M$2:$BL273,$J273,FALSE),"")="","",IFERROR(HLOOKUP(F$2,$M$2:$BL273,$J273,FALSE),""))</f>
        <v/>
      </c>
      <c r="G273" s="16" t="str">
        <f>IF(IFERROR(HLOOKUP(G$2,$M$2:$BL273,$J273,FALSE),"")="","",IFERROR(HLOOKUP(G$2,$M$2:$BL273,$J273,FALSE),""))</f>
        <v/>
      </c>
    </row>
    <row r="274" spans="1:7">
      <c r="A274" s="16" t="str">
        <f t="shared" si="22"/>
        <v>BBB</v>
      </c>
      <c r="B274" s="16" t="str">
        <f>IF(IFERROR(HLOOKUP(B$2,$M$2:$BL274,$J274,FALSE),"")="","",IFERROR(HLOOKUP(B$2,$M$2:$BL274,$J274,FALSE),""))</f>
        <v/>
      </c>
      <c r="C274" s="16" t="str">
        <f>IF(IFERROR(HLOOKUP(C$2,$M$2:$BL274,$J274,FALSE),"")="","",IFERROR(HLOOKUP(C$2,$M$2:$BL274,$J274,FALSE),""))</f>
        <v/>
      </c>
      <c r="D274" s="16" t="str">
        <f>IF(IFERROR(HLOOKUP(D$2,$M$2:$BL274,$J274,FALSE),"")="","",IFERROR(HLOOKUP(D$2,$M$2:$BL274,$J274,FALSE),""))</f>
        <v/>
      </c>
      <c r="E274" s="16" t="str">
        <f>IF(IFERROR(HLOOKUP(E$2,$M$2:$BL274,$J274,FALSE),"")="","",IFERROR(HLOOKUP(E$2,$M$2:$BL274,$J274,FALSE),""))</f>
        <v/>
      </c>
      <c r="F274" s="16" t="str">
        <f>IF(IFERROR(HLOOKUP(F$2,$M$2:$BL274,$J274,FALSE),"")="","",IFERROR(HLOOKUP(F$2,$M$2:$BL274,$J274,FALSE),""))</f>
        <v/>
      </c>
      <c r="G274" s="16" t="str">
        <f>IF(IFERROR(HLOOKUP(G$2,$M$2:$BL274,$J274,FALSE),"")="","",IFERROR(HLOOKUP(G$2,$M$2:$BL274,$J274,FALSE),""))</f>
        <v/>
      </c>
    </row>
    <row r="275" spans="1:7">
      <c r="A275" s="16" t="str">
        <f t="shared" si="22"/>
        <v>BB</v>
      </c>
      <c r="B275" s="16" t="str">
        <f>IF(IFERROR(HLOOKUP(B$2,$M$2:$BL275,$J275,FALSE),"")="","",IFERROR(HLOOKUP(B$2,$M$2:$BL275,$J275,FALSE),""))</f>
        <v/>
      </c>
      <c r="C275" s="16" t="str">
        <f>IF(IFERROR(HLOOKUP(C$2,$M$2:$BL275,$J275,FALSE),"")="","",IFERROR(HLOOKUP(C$2,$M$2:$BL275,$J275,FALSE),""))</f>
        <v/>
      </c>
      <c r="D275" s="16" t="str">
        <f>IF(IFERROR(HLOOKUP(D$2,$M$2:$BL275,$J275,FALSE),"")="","",IFERROR(HLOOKUP(D$2,$M$2:$BL275,$J275,FALSE),""))</f>
        <v/>
      </c>
      <c r="E275" s="16" t="str">
        <f>IF(IFERROR(HLOOKUP(E$2,$M$2:$BL275,$J275,FALSE),"")="","",IFERROR(HLOOKUP(E$2,$M$2:$BL275,$J275,FALSE),""))</f>
        <v/>
      </c>
      <c r="F275" s="16" t="str">
        <f>IF(IFERROR(HLOOKUP(F$2,$M$2:$BL275,$J275,FALSE),"")="","",IFERROR(HLOOKUP(F$2,$M$2:$BL275,$J275,FALSE),""))</f>
        <v/>
      </c>
      <c r="G275" s="16" t="str">
        <f>IF(IFERROR(HLOOKUP(G$2,$M$2:$BL275,$J275,FALSE),"")="","",IFERROR(HLOOKUP(G$2,$M$2:$BL275,$J275,FALSE),""))</f>
        <v/>
      </c>
    </row>
    <row r="276" spans="1:7">
      <c r="A276" s="16" t="str">
        <f t="shared" si="22"/>
        <v>B</v>
      </c>
      <c r="B276" s="16" t="str">
        <f>IF(IFERROR(HLOOKUP(B$2,$M$2:$BL276,$J276,FALSE),"")="","",IFERROR(HLOOKUP(B$2,$M$2:$BL276,$J276,FALSE),""))</f>
        <v/>
      </c>
      <c r="C276" s="16" t="str">
        <f>IF(IFERROR(HLOOKUP(C$2,$M$2:$BL276,$J276,FALSE),"")="","",IFERROR(HLOOKUP(C$2,$M$2:$BL276,$J276,FALSE),""))</f>
        <v/>
      </c>
      <c r="D276" s="16" t="str">
        <f>IF(IFERROR(HLOOKUP(D$2,$M$2:$BL276,$J276,FALSE),"")="","",IFERROR(HLOOKUP(D$2,$M$2:$BL276,$J276,FALSE),""))</f>
        <v/>
      </c>
      <c r="E276" s="16" t="str">
        <f>IF(IFERROR(HLOOKUP(E$2,$M$2:$BL276,$J276,FALSE),"")="","",IFERROR(HLOOKUP(E$2,$M$2:$BL276,$J276,FALSE),""))</f>
        <v/>
      </c>
      <c r="F276" s="16" t="str">
        <f>IF(IFERROR(HLOOKUP(F$2,$M$2:$BL276,$J276,FALSE),"")="","",IFERROR(HLOOKUP(F$2,$M$2:$BL276,$J276,FALSE),""))</f>
        <v/>
      </c>
      <c r="G276" s="16" t="str">
        <f>IF(IFERROR(HLOOKUP(G$2,$M$2:$BL276,$J276,FALSE),"")="","",IFERROR(HLOOKUP(G$2,$M$2:$BL276,$J276,FALSE),""))</f>
        <v/>
      </c>
    </row>
    <row r="277" spans="1:7">
      <c r="A277" s="16" t="str">
        <f t="shared" si="22"/>
        <v>CCC and below</v>
      </c>
      <c r="B277" s="16" t="str">
        <f>IF(IFERROR(HLOOKUP(B$2,$M$2:$BL277,$J277,FALSE),"")="","",IFERROR(HLOOKUP(B$2,$M$2:$BL277,$J277,FALSE),""))</f>
        <v/>
      </c>
      <c r="C277" s="16" t="str">
        <f>IF(IFERROR(HLOOKUP(C$2,$M$2:$BL277,$J277,FALSE),"")="","",IFERROR(HLOOKUP(C$2,$M$2:$BL277,$J277,FALSE),""))</f>
        <v/>
      </c>
      <c r="D277" s="16" t="str">
        <f>IF(IFERROR(HLOOKUP(D$2,$M$2:$BL277,$J277,FALSE),"")="","",IFERROR(HLOOKUP(D$2,$M$2:$BL277,$J277,FALSE),""))</f>
        <v/>
      </c>
      <c r="E277" s="16" t="str">
        <f>IF(IFERROR(HLOOKUP(E$2,$M$2:$BL277,$J277,FALSE),"")="","",IFERROR(HLOOKUP(E$2,$M$2:$BL277,$J277,FALSE),""))</f>
        <v/>
      </c>
      <c r="F277" s="16" t="str">
        <f>IF(IFERROR(HLOOKUP(F$2,$M$2:$BL277,$J277,FALSE),"")="","",IFERROR(HLOOKUP(F$2,$M$2:$BL277,$J277,FALSE),""))</f>
        <v/>
      </c>
      <c r="G277" s="16" t="str">
        <f>IF(IFERROR(HLOOKUP(G$2,$M$2:$BL277,$J277,FALSE),"")="","",IFERROR(HLOOKUP(G$2,$M$2:$BL277,$J277,FALSE),""))</f>
        <v/>
      </c>
    </row>
    <row r="278" spans="1:7" s="19" customFormat="1">
      <c r="A278" s="22" t="str">
        <f t="shared" si="22"/>
        <v>Factor 4</v>
      </c>
      <c r="B278" s="19" t="str">
        <f>IF(IFERROR(HLOOKUP(B$2,$M$2:$BL278,$J278,FALSE),"")="","",IFERROR(HLOOKUP(B$2,$M$2:$BL278,$J278,FALSE),""))</f>
        <v/>
      </c>
      <c r="C278" s="19" t="str">
        <f>IF(IFERROR(HLOOKUP(C$2,$M$2:$BL278,$J278,FALSE),"")="","",IFERROR(HLOOKUP(C$2,$M$2:$BL278,$J278,FALSE),""))</f>
        <v/>
      </c>
      <c r="D278" s="19" t="str">
        <f>IF(IFERROR(HLOOKUP(D$2,$M$2:$BL278,$J278,FALSE),"")="","",IFERROR(HLOOKUP(D$2,$M$2:$BL278,$J278,FALSE),""))</f>
        <v/>
      </c>
      <c r="E278" s="19" t="str">
        <f>IF(IFERROR(HLOOKUP(E$2,$M$2:$BL278,$J278,FALSE),"")="","",IFERROR(HLOOKUP(E$2,$M$2:$BL278,$J278,FALSE),""))</f>
        <v/>
      </c>
      <c r="F278" s="19" t="str">
        <f>IF(IFERROR(HLOOKUP(F$2,$M$2:$BL278,$J278,FALSE),"")="","",IFERROR(HLOOKUP(F$2,$M$2:$BL278,$J278,FALSE),""))</f>
        <v/>
      </c>
      <c r="G278" s="19" t="str">
        <f>IF(IFERROR(HLOOKUP(G$2,$M$2:$BL278,$J278,FALSE),"")="","",IFERROR(HLOOKUP(G$2,$M$2:$BL278,$J278,FALSE),""))</f>
        <v/>
      </c>
    </row>
    <row r="279" spans="1:7">
      <c r="A279" s="16" t="str">
        <f t="shared" si="22"/>
        <v>AA and above</v>
      </c>
      <c r="B279" s="16" t="str">
        <f>IF(IFERROR(HLOOKUP(B$2,$M$2:$BL279,$J279,FALSE),"")="","",IFERROR(HLOOKUP(B$2,$M$2:$BL279,$J279,FALSE),""))</f>
        <v/>
      </c>
      <c r="C279" s="16" t="str">
        <f>IF(IFERROR(HLOOKUP(C$2,$M$2:$BL279,$J279,FALSE),"")="","",IFERROR(HLOOKUP(C$2,$M$2:$BL279,$J279,FALSE),""))</f>
        <v/>
      </c>
      <c r="D279" s="16" t="str">
        <f>IF(IFERROR(HLOOKUP(D$2,$M$2:$BL279,$J279,FALSE),"")="","",IFERROR(HLOOKUP(D$2,$M$2:$BL279,$J279,FALSE),""))</f>
        <v/>
      </c>
      <c r="E279" s="16" t="str">
        <f>IF(IFERROR(HLOOKUP(E$2,$M$2:$BL279,$J279,FALSE),"")="","",IFERROR(HLOOKUP(E$2,$M$2:$BL279,$J279,FALSE),""))</f>
        <v/>
      </c>
      <c r="F279" s="16" t="str">
        <f>IF(IFERROR(HLOOKUP(F$2,$M$2:$BL279,$J279,FALSE),"")="","",IFERROR(HLOOKUP(F$2,$M$2:$BL279,$J279,FALSE),""))</f>
        <v/>
      </c>
      <c r="G279" s="16" t="str">
        <f>IF(IFERROR(HLOOKUP(G$2,$M$2:$BL279,$J279,FALSE),"")="","",IFERROR(HLOOKUP(G$2,$M$2:$BL279,$J279,FALSE),""))</f>
        <v/>
      </c>
    </row>
    <row r="280" spans="1:7">
      <c r="A280" s="16" t="str">
        <f t="shared" si="22"/>
        <v>A</v>
      </c>
      <c r="B280" s="16" t="str">
        <f>IF(IFERROR(HLOOKUP(B$2,$M$2:$BL280,$J280,FALSE),"")="","",IFERROR(HLOOKUP(B$2,$M$2:$BL280,$J280,FALSE),""))</f>
        <v/>
      </c>
      <c r="C280" s="16" t="str">
        <f>IF(IFERROR(HLOOKUP(C$2,$M$2:$BL280,$J280,FALSE),"")="","",IFERROR(HLOOKUP(C$2,$M$2:$BL280,$J280,FALSE),""))</f>
        <v/>
      </c>
      <c r="D280" s="16" t="str">
        <f>IF(IFERROR(HLOOKUP(D$2,$M$2:$BL280,$J280,FALSE),"")="","",IFERROR(HLOOKUP(D$2,$M$2:$BL280,$J280,FALSE),""))</f>
        <v/>
      </c>
      <c r="E280" s="16" t="str">
        <f>IF(IFERROR(HLOOKUP(E$2,$M$2:$BL280,$J280,FALSE),"")="","",IFERROR(HLOOKUP(E$2,$M$2:$BL280,$J280,FALSE),""))</f>
        <v/>
      </c>
      <c r="F280" s="16" t="str">
        <f>IF(IFERROR(HLOOKUP(F$2,$M$2:$BL280,$J280,FALSE),"")="","",IFERROR(HLOOKUP(F$2,$M$2:$BL280,$J280,FALSE),""))</f>
        <v/>
      </c>
      <c r="G280" s="16" t="str">
        <f>IF(IFERROR(HLOOKUP(G$2,$M$2:$BL280,$J280,FALSE),"")="","",IFERROR(HLOOKUP(G$2,$M$2:$BL280,$J280,FALSE),""))</f>
        <v/>
      </c>
    </row>
    <row r="281" spans="1:7">
      <c r="A281" s="16" t="str">
        <f t="shared" si="22"/>
        <v>BBB</v>
      </c>
      <c r="B281" s="16" t="str">
        <f>IF(IFERROR(HLOOKUP(B$2,$M$2:$BL281,$J281,FALSE),"")="","",IFERROR(HLOOKUP(B$2,$M$2:$BL281,$J281,FALSE),""))</f>
        <v/>
      </c>
      <c r="C281" s="16" t="str">
        <f>IF(IFERROR(HLOOKUP(C$2,$M$2:$BL281,$J281,FALSE),"")="","",IFERROR(HLOOKUP(C$2,$M$2:$BL281,$J281,FALSE),""))</f>
        <v/>
      </c>
      <c r="D281" s="16" t="str">
        <f>IF(IFERROR(HLOOKUP(D$2,$M$2:$BL281,$J281,FALSE),"")="","",IFERROR(HLOOKUP(D$2,$M$2:$BL281,$J281,FALSE),""))</f>
        <v/>
      </c>
      <c r="E281" s="16" t="str">
        <f>IF(IFERROR(HLOOKUP(E$2,$M$2:$BL281,$J281,FALSE),"")="","",IFERROR(HLOOKUP(E$2,$M$2:$BL281,$J281,FALSE),""))</f>
        <v/>
      </c>
      <c r="F281" s="16" t="str">
        <f>IF(IFERROR(HLOOKUP(F$2,$M$2:$BL281,$J281,FALSE),"")="","",IFERROR(HLOOKUP(F$2,$M$2:$BL281,$J281,FALSE),""))</f>
        <v/>
      </c>
      <c r="G281" s="16" t="str">
        <f>IF(IFERROR(HLOOKUP(G$2,$M$2:$BL281,$J281,FALSE),"")="","",IFERROR(HLOOKUP(G$2,$M$2:$BL281,$J281,FALSE),""))</f>
        <v/>
      </c>
    </row>
    <row r="282" spans="1:7">
      <c r="A282" s="16" t="str">
        <f t="shared" si="22"/>
        <v>BB</v>
      </c>
      <c r="B282" s="16" t="str">
        <f>IF(IFERROR(HLOOKUP(B$2,$M$2:$BL282,$J282,FALSE),"")="","",IFERROR(HLOOKUP(B$2,$M$2:$BL282,$J282,FALSE),""))</f>
        <v/>
      </c>
      <c r="C282" s="16" t="str">
        <f>IF(IFERROR(HLOOKUP(C$2,$M$2:$BL282,$J282,FALSE),"")="","",IFERROR(HLOOKUP(C$2,$M$2:$BL282,$J282,FALSE),""))</f>
        <v/>
      </c>
      <c r="D282" s="16" t="str">
        <f>IF(IFERROR(HLOOKUP(D$2,$M$2:$BL282,$J282,FALSE),"")="","",IFERROR(HLOOKUP(D$2,$M$2:$BL282,$J282,FALSE),""))</f>
        <v/>
      </c>
      <c r="E282" s="16" t="str">
        <f>IF(IFERROR(HLOOKUP(E$2,$M$2:$BL282,$J282,FALSE),"")="","",IFERROR(HLOOKUP(E$2,$M$2:$BL282,$J282,FALSE),""))</f>
        <v/>
      </c>
      <c r="F282" s="16" t="str">
        <f>IF(IFERROR(HLOOKUP(F$2,$M$2:$BL282,$J282,FALSE),"")="","",IFERROR(HLOOKUP(F$2,$M$2:$BL282,$J282,FALSE),""))</f>
        <v/>
      </c>
      <c r="G282" s="16" t="str">
        <f>IF(IFERROR(HLOOKUP(G$2,$M$2:$BL282,$J282,FALSE),"")="","",IFERROR(HLOOKUP(G$2,$M$2:$BL282,$J282,FALSE),""))</f>
        <v/>
      </c>
    </row>
    <row r="283" spans="1:7">
      <c r="A283" s="16" t="str">
        <f t="shared" si="22"/>
        <v>B</v>
      </c>
      <c r="B283" s="16" t="str">
        <f>IF(IFERROR(HLOOKUP(B$2,$M$2:$BL283,$J283,FALSE),"")="","",IFERROR(HLOOKUP(B$2,$M$2:$BL283,$J283,FALSE),""))</f>
        <v/>
      </c>
      <c r="C283" s="16" t="str">
        <f>IF(IFERROR(HLOOKUP(C$2,$M$2:$BL283,$J283,FALSE),"")="","",IFERROR(HLOOKUP(C$2,$M$2:$BL283,$J283,FALSE),""))</f>
        <v/>
      </c>
      <c r="D283" s="16" t="str">
        <f>IF(IFERROR(HLOOKUP(D$2,$M$2:$BL283,$J283,FALSE),"")="","",IFERROR(HLOOKUP(D$2,$M$2:$BL283,$J283,FALSE),""))</f>
        <v/>
      </c>
      <c r="E283" s="16" t="str">
        <f>IF(IFERROR(HLOOKUP(E$2,$M$2:$BL283,$J283,FALSE),"")="","",IFERROR(HLOOKUP(E$2,$M$2:$BL283,$J283,FALSE),""))</f>
        <v/>
      </c>
      <c r="F283" s="16" t="str">
        <f>IF(IFERROR(HLOOKUP(F$2,$M$2:$BL283,$J283,FALSE),"")="","",IFERROR(HLOOKUP(F$2,$M$2:$BL283,$J283,FALSE),""))</f>
        <v/>
      </c>
      <c r="G283" s="16" t="str">
        <f>IF(IFERROR(HLOOKUP(G$2,$M$2:$BL283,$J283,FALSE),"")="","",IFERROR(HLOOKUP(G$2,$M$2:$BL283,$J283,FALSE),""))</f>
        <v/>
      </c>
    </row>
    <row r="284" spans="1:7">
      <c r="A284" s="16" t="str">
        <f t="shared" si="22"/>
        <v>CCC and below</v>
      </c>
      <c r="B284" s="16" t="str">
        <f>IF(IFERROR(HLOOKUP(B$2,$M$2:$BL284,$J284,FALSE),"")="","",IFERROR(HLOOKUP(B$2,$M$2:$BL284,$J284,FALSE),""))</f>
        <v/>
      </c>
      <c r="C284" s="16" t="str">
        <f>IF(IFERROR(HLOOKUP(C$2,$M$2:$BL284,$J284,FALSE),"")="","",IFERROR(HLOOKUP(C$2,$M$2:$BL284,$J284,FALSE),""))</f>
        <v/>
      </c>
      <c r="D284" s="16" t="str">
        <f>IF(IFERROR(HLOOKUP(D$2,$M$2:$BL284,$J284,FALSE),"")="","",IFERROR(HLOOKUP(D$2,$M$2:$BL284,$J284,FALSE),""))</f>
        <v/>
      </c>
      <c r="E284" s="16" t="str">
        <f>IF(IFERROR(HLOOKUP(E$2,$M$2:$BL284,$J284,FALSE),"")="","",IFERROR(HLOOKUP(E$2,$M$2:$BL284,$J284,FALSE),""))</f>
        <v/>
      </c>
      <c r="F284" s="16" t="str">
        <f>IF(IFERROR(HLOOKUP(F$2,$M$2:$BL284,$J284,FALSE),"")="","",IFERROR(HLOOKUP(F$2,$M$2:$BL284,$J284,FALSE),""))</f>
        <v/>
      </c>
      <c r="G284" s="16" t="str">
        <f>IF(IFERROR(HLOOKUP(G$2,$M$2:$BL284,$J284,FALSE),"")="","",IFERROR(HLOOKUP(G$2,$M$2:$BL284,$J284,FALSE),""))</f>
        <v/>
      </c>
    </row>
    <row r="285" spans="1:7" s="19" customFormat="1">
      <c r="A285" s="22" t="str">
        <f t="shared" si="22"/>
        <v>Factor 5</v>
      </c>
      <c r="B285" s="19" t="str">
        <f>IF(IFERROR(HLOOKUP(B$2,$M$2:$BL285,$J285,FALSE),"")="","",IFERROR(HLOOKUP(B$2,$M$2:$BL285,$J285,FALSE),""))</f>
        <v/>
      </c>
      <c r="C285" s="19" t="str">
        <f>IF(IFERROR(HLOOKUP(C$2,$M$2:$BL285,$J285,FALSE),"")="","",IFERROR(HLOOKUP(C$2,$M$2:$BL285,$J285,FALSE),""))</f>
        <v/>
      </c>
      <c r="D285" s="19" t="str">
        <f>IF(IFERROR(HLOOKUP(D$2,$M$2:$BL285,$J285,FALSE),"")="","",IFERROR(HLOOKUP(D$2,$M$2:$BL285,$J285,FALSE),""))</f>
        <v/>
      </c>
      <c r="E285" s="19" t="str">
        <f>IF(IFERROR(HLOOKUP(E$2,$M$2:$BL285,$J285,FALSE),"")="","",IFERROR(HLOOKUP(E$2,$M$2:$BL285,$J285,FALSE),""))</f>
        <v/>
      </c>
      <c r="F285" s="19" t="str">
        <f>IF(IFERROR(HLOOKUP(F$2,$M$2:$BL285,$J285,FALSE),"")="","",IFERROR(HLOOKUP(F$2,$M$2:$BL285,$J285,FALSE),""))</f>
        <v/>
      </c>
      <c r="G285" s="19" t="str">
        <f>IF(IFERROR(HLOOKUP(G$2,$M$2:$BL285,$J285,FALSE),"")="","",IFERROR(HLOOKUP(G$2,$M$2:$BL285,$J285,FALSE),""))</f>
        <v/>
      </c>
    </row>
    <row r="286" spans="1:7">
      <c r="A286" s="16" t="str">
        <f t="shared" si="22"/>
        <v>AA and above</v>
      </c>
      <c r="B286" s="16" t="str">
        <f>IF(IFERROR(HLOOKUP(B$2,$M$2:$BL286,$J286,FALSE),"")="","",IFERROR(HLOOKUP(B$2,$M$2:$BL286,$J286,FALSE),""))</f>
        <v/>
      </c>
      <c r="C286" s="16" t="str">
        <f>IF(IFERROR(HLOOKUP(C$2,$M$2:$BL286,$J286,FALSE),"")="","",IFERROR(HLOOKUP(C$2,$M$2:$BL286,$J286,FALSE),""))</f>
        <v/>
      </c>
      <c r="D286" s="16" t="str">
        <f>IF(IFERROR(HLOOKUP(D$2,$M$2:$BL286,$J286,FALSE),"")="","",IFERROR(HLOOKUP(D$2,$M$2:$BL286,$J286,FALSE),""))</f>
        <v/>
      </c>
      <c r="E286" s="16" t="str">
        <f>IF(IFERROR(HLOOKUP(E$2,$M$2:$BL286,$J286,FALSE),"")="","",IFERROR(HLOOKUP(E$2,$M$2:$BL286,$J286,FALSE),""))</f>
        <v/>
      </c>
      <c r="F286" s="16" t="str">
        <f>IF(IFERROR(HLOOKUP(F$2,$M$2:$BL286,$J286,FALSE),"")="","",IFERROR(HLOOKUP(F$2,$M$2:$BL286,$J286,FALSE),""))</f>
        <v/>
      </c>
      <c r="G286" s="16" t="str">
        <f>IF(IFERROR(HLOOKUP(G$2,$M$2:$BL286,$J286,FALSE),"")="","",IFERROR(HLOOKUP(G$2,$M$2:$BL286,$J286,FALSE),""))</f>
        <v/>
      </c>
    </row>
    <row r="287" spans="1:7">
      <c r="A287" s="16" t="str">
        <f t="shared" si="22"/>
        <v>A</v>
      </c>
      <c r="B287" s="16" t="str">
        <f>IF(IFERROR(HLOOKUP(B$2,$M$2:$BL287,$J287,FALSE),"")="","",IFERROR(HLOOKUP(B$2,$M$2:$BL287,$J287,FALSE),""))</f>
        <v/>
      </c>
      <c r="C287" s="16" t="str">
        <f>IF(IFERROR(HLOOKUP(C$2,$M$2:$BL287,$J287,FALSE),"")="","",IFERROR(HLOOKUP(C$2,$M$2:$BL287,$J287,FALSE),""))</f>
        <v/>
      </c>
      <c r="D287" s="16" t="str">
        <f>IF(IFERROR(HLOOKUP(D$2,$M$2:$BL287,$J287,FALSE),"")="","",IFERROR(HLOOKUP(D$2,$M$2:$BL287,$J287,FALSE),""))</f>
        <v/>
      </c>
      <c r="E287" s="16" t="str">
        <f>IF(IFERROR(HLOOKUP(E$2,$M$2:$BL287,$J287,FALSE),"")="","",IFERROR(HLOOKUP(E$2,$M$2:$BL287,$J287,FALSE),""))</f>
        <v/>
      </c>
      <c r="F287" s="16" t="str">
        <f>IF(IFERROR(HLOOKUP(F$2,$M$2:$BL287,$J287,FALSE),"")="","",IFERROR(HLOOKUP(F$2,$M$2:$BL287,$J287,FALSE),""))</f>
        <v/>
      </c>
      <c r="G287" s="16" t="str">
        <f>IF(IFERROR(HLOOKUP(G$2,$M$2:$BL287,$J287,FALSE),"")="","",IFERROR(HLOOKUP(G$2,$M$2:$BL287,$J287,FALSE),""))</f>
        <v/>
      </c>
    </row>
    <row r="288" spans="1:7">
      <c r="A288" s="16" t="str">
        <f t="shared" si="22"/>
        <v>BBB</v>
      </c>
      <c r="B288" s="16" t="str">
        <f>IF(IFERROR(HLOOKUP(B$2,$M$2:$BL288,$J288,FALSE),"")="","",IFERROR(HLOOKUP(B$2,$M$2:$BL288,$J288,FALSE),""))</f>
        <v/>
      </c>
      <c r="C288" s="16" t="str">
        <f>IF(IFERROR(HLOOKUP(C$2,$M$2:$BL288,$J288,FALSE),"")="","",IFERROR(HLOOKUP(C$2,$M$2:$BL288,$J288,FALSE),""))</f>
        <v/>
      </c>
      <c r="D288" s="16" t="str">
        <f>IF(IFERROR(HLOOKUP(D$2,$M$2:$BL288,$J288,FALSE),"")="","",IFERROR(HLOOKUP(D$2,$M$2:$BL288,$J288,FALSE),""))</f>
        <v/>
      </c>
      <c r="E288" s="16" t="str">
        <f>IF(IFERROR(HLOOKUP(E$2,$M$2:$BL288,$J288,FALSE),"")="","",IFERROR(HLOOKUP(E$2,$M$2:$BL288,$J288,FALSE),""))</f>
        <v/>
      </c>
      <c r="F288" s="16" t="str">
        <f>IF(IFERROR(HLOOKUP(F$2,$M$2:$BL288,$J288,FALSE),"")="","",IFERROR(HLOOKUP(F$2,$M$2:$BL288,$J288,FALSE),""))</f>
        <v/>
      </c>
      <c r="G288" s="16" t="str">
        <f>IF(IFERROR(HLOOKUP(G$2,$M$2:$BL288,$J288,FALSE),"")="","",IFERROR(HLOOKUP(G$2,$M$2:$BL288,$J288,FALSE),""))</f>
        <v/>
      </c>
    </row>
    <row r="289" spans="1:7">
      <c r="A289" s="16" t="str">
        <f t="shared" si="22"/>
        <v>BB</v>
      </c>
      <c r="B289" s="16" t="str">
        <f>IF(IFERROR(HLOOKUP(B$2,$M$2:$BL289,$J289,FALSE),"")="","",IFERROR(HLOOKUP(B$2,$M$2:$BL289,$J289,FALSE),""))</f>
        <v/>
      </c>
      <c r="C289" s="16" t="str">
        <f>IF(IFERROR(HLOOKUP(C$2,$M$2:$BL289,$J289,FALSE),"")="","",IFERROR(HLOOKUP(C$2,$M$2:$BL289,$J289,FALSE),""))</f>
        <v/>
      </c>
      <c r="D289" s="16" t="str">
        <f>IF(IFERROR(HLOOKUP(D$2,$M$2:$BL289,$J289,FALSE),"")="","",IFERROR(HLOOKUP(D$2,$M$2:$BL289,$J289,FALSE),""))</f>
        <v/>
      </c>
      <c r="E289" s="16" t="str">
        <f>IF(IFERROR(HLOOKUP(E$2,$M$2:$BL289,$J289,FALSE),"")="","",IFERROR(HLOOKUP(E$2,$M$2:$BL289,$J289,FALSE),""))</f>
        <v/>
      </c>
      <c r="F289" s="16" t="str">
        <f>IF(IFERROR(HLOOKUP(F$2,$M$2:$BL289,$J289,FALSE),"")="","",IFERROR(HLOOKUP(F$2,$M$2:$BL289,$J289,FALSE),""))</f>
        <v/>
      </c>
      <c r="G289" s="16" t="str">
        <f>IF(IFERROR(HLOOKUP(G$2,$M$2:$BL289,$J289,FALSE),"")="","",IFERROR(HLOOKUP(G$2,$M$2:$BL289,$J289,FALSE),""))</f>
        <v/>
      </c>
    </row>
    <row r="290" spans="1:7">
      <c r="A290" s="16" t="str">
        <f t="shared" si="22"/>
        <v>B</v>
      </c>
      <c r="B290" s="16" t="str">
        <f>IF(IFERROR(HLOOKUP(B$2,$M$2:$BL290,$J290,FALSE),"")="","",IFERROR(HLOOKUP(B$2,$M$2:$BL290,$J290,FALSE),""))</f>
        <v/>
      </c>
      <c r="C290" s="16" t="str">
        <f>IF(IFERROR(HLOOKUP(C$2,$M$2:$BL290,$J290,FALSE),"")="","",IFERROR(HLOOKUP(C$2,$M$2:$BL290,$J290,FALSE),""))</f>
        <v/>
      </c>
      <c r="D290" s="16" t="str">
        <f>IF(IFERROR(HLOOKUP(D$2,$M$2:$BL290,$J290,FALSE),"")="","",IFERROR(HLOOKUP(D$2,$M$2:$BL290,$J290,FALSE),""))</f>
        <v/>
      </c>
      <c r="E290" s="16" t="str">
        <f>IF(IFERROR(HLOOKUP(E$2,$M$2:$BL290,$J290,FALSE),"")="","",IFERROR(HLOOKUP(E$2,$M$2:$BL290,$J290,FALSE),""))</f>
        <v/>
      </c>
      <c r="F290" s="16" t="str">
        <f>IF(IFERROR(HLOOKUP(F$2,$M$2:$BL290,$J290,FALSE),"")="","",IFERROR(HLOOKUP(F$2,$M$2:$BL290,$J290,FALSE),""))</f>
        <v/>
      </c>
      <c r="G290" s="16" t="str">
        <f>IF(IFERROR(HLOOKUP(G$2,$M$2:$BL290,$J290,FALSE),"")="","",IFERROR(HLOOKUP(G$2,$M$2:$BL290,$J290,FALSE),""))</f>
        <v/>
      </c>
    </row>
    <row r="291" spans="1:7">
      <c r="A291" s="16" t="str">
        <f t="shared" si="22"/>
        <v>CCC and below</v>
      </c>
      <c r="B291" s="16" t="str">
        <f>IF(IFERROR(HLOOKUP(B$2,$M$2:$BL291,$J291,FALSE),"")="","",IFERROR(HLOOKUP(B$2,$M$2:$BL291,$J291,FALSE),""))</f>
        <v/>
      </c>
      <c r="C291" s="16" t="str">
        <f>IF(IFERROR(HLOOKUP(C$2,$M$2:$BL291,$J291,FALSE),"")="","",IFERROR(HLOOKUP(C$2,$M$2:$BL291,$J291,FALSE),""))</f>
        <v/>
      </c>
      <c r="D291" s="16" t="str">
        <f>IF(IFERROR(HLOOKUP(D$2,$M$2:$BL291,$J291,FALSE),"")="","",IFERROR(HLOOKUP(D$2,$M$2:$BL291,$J291,FALSE),""))</f>
        <v/>
      </c>
      <c r="E291" s="16" t="str">
        <f>IF(IFERROR(HLOOKUP(E$2,$M$2:$BL291,$J291,FALSE),"")="","",IFERROR(HLOOKUP(E$2,$M$2:$BL291,$J291,FALSE),""))</f>
        <v/>
      </c>
      <c r="F291" s="16" t="str">
        <f>IF(IFERROR(HLOOKUP(F$2,$M$2:$BL291,$J291,FALSE),"")="","",IFERROR(HLOOKUP(F$2,$M$2:$BL291,$J291,FALSE),""))</f>
        <v/>
      </c>
      <c r="G291" s="16" t="str">
        <f>IF(IFERROR(HLOOKUP(G$2,$M$2:$BL291,$J291,FALSE),"")="","",IFERROR(HLOOKUP(G$2,$M$2:$BL291,$J291,FALSE),""))</f>
        <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CC724"/>
  <sheetViews>
    <sheetView topLeftCell="AN1" zoomScaleNormal="100" workbookViewId="0">
      <selection activeCell="AT22" sqref="AT22"/>
    </sheetView>
  </sheetViews>
  <sheetFormatPr baseColWidth="10" defaultColWidth="8.83203125" defaultRowHeight="15"/>
  <cols>
    <col min="1" max="1" width="37.6640625" style="51" customWidth="1"/>
    <col min="2" max="2" width="37.33203125" style="51" bestFit="1" customWidth="1"/>
    <col min="3" max="3" width="24.1640625" style="51" customWidth="1"/>
    <col min="4" max="4" width="16.33203125" style="51" customWidth="1"/>
    <col min="5" max="5" width="10.6640625" style="51" customWidth="1"/>
    <col min="6" max="6" width="10.83203125" style="51" customWidth="1"/>
    <col min="7" max="7" width="19.5" style="51" bestFit="1" customWidth="1"/>
    <col min="8" max="8" width="9.6640625" style="51" customWidth="1"/>
    <col min="9" max="9" width="18.6640625" style="51" bestFit="1" customWidth="1"/>
    <col min="10" max="10" width="13.6640625" style="51" customWidth="1"/>
    <col min="11" max="15" width="16.33203125" style="51" customWidth="1"/>
    <col min="16" max="16" width="8" style="51" bestFit="1" customWidth="1"/>
    <col min="17" max="17" width="16.33203125" style="51" customWidth="1"/>
    <col min="18" max="18" width="5.1640625" style="51" bestFit="1" customWidth="1"/>
    <col min="19" max="19" width="9.1640625" style="51" customWidth="1"/>
    <col min="20" max="20" width="7" style="51" customWidth="1"/>
    <col min="21" max="21" width="15.6640625" style="51" bestFit="1" customWidth="1"/>
    <col min="22" max="22" width="20.1640625" style="51" customWidth="1"/>
    <col min="23" max="23" width="23.1640625" style="51" customWidth="1"/>
    <col min="24" max="24" width="16.33203125" style="51" bestFit="1" customWidth="1"/>
    <col min="25" max="25" width="19.1640625" style="51" customWidth="1"/>
    <col min="26" max="26" width="19.6640625" style="51" bestFit="1" customWidth="1"/>
    <col min="27" max="27" width="28.1640625" style="51" customWidth="1"/>
    <col min="28" max="28" width="16.5" style="51" bestFit="1" customWidth="1"/>
    <col min="29" max="29" width="12.83203125" style="51" customWidth="1"/>
    <col min="30" max="31" width="9" customWidth="1"/>
    <col min="32" max="32" width="55" bestFit="1" customWidth="1"/>
    <col min="33" max="33" width="36.33203125" bestFit="1" customWidth="1"/>
    <col min="34" max="34" width="37" bestFit="1" customWidth="1"/>
    <col min="35" max="35" width="27.33203125" bestFit="1" customWidth="1"/>
    <col min="36" max="36" width="17.83203125" bestFit="1" customWidth="1"/>
    <col min="37" max="37" width="28.33203125" bestFit="1" customWidth="1"/>
    <col min="38" max="38" width="33.6640625" bestFit="1" customWidth="1"/>
    <col min="39" max="39" width="19" customWidth="1"/>
    <col min="40" max="40" width="19.83203125" customWidth="1"/>
    <col min="41" max="41" width="15" customWidth="1"/>
    <col min="42" max="42" width="14.6640625" customWidth="1"/>
    <col min="43" max="43" width="7.6640625" bestFit="1" customWidth="1"/>
    <col min="44" max="44" width="7.6640625" customWidth="1"/>
    <col min="45" max="45" width="11.1640625" customWidth="1"/>
    <col min="46" max="46" width="11.5" customWidth="1"/>
    <col min="47" max="47" width="15" customWidth="1"/>
    <col min="55" max="55" width="34.6640625" bestFit="1" customWidth="1"/>
    <col min="70" max="70" width="30.1640625" customWidth="1"/>
    <col min="71" max="71" width="20.1640625" customWidth="1"/>
    <col min="81" max="81" width="15.33203125" bestFit="1" customWidth="1"/>
    <col min="82" max="82" width="22" bestFit="1" customWidth="1"/>
  </cols>
  <sheetData>
    <row r="1" spans="1:47" s="10" customFormat="1" ht="24" customHeight="1">
      <c r="A1" s="8" t="s">
        <v>893</v>
      </c>
      <c r="B1" s="8" t="s">
        <v>894</v>
      </c>
      <c r="C1" s="8" t="s">
        <v>895</v>
      </c>
      <c r="D1" s="8" t="s">
        <v>896</v>
      </c>
      <c r="E1" s="8" t="s">
        <v>11</v>
      </c>
      <c r="F1" s="8" t="s">
        <v>12</v>
      </c>
      <c r="G1" s="8" t="s">
        <v>897</v>
      </c>
      <c r="H1" s="8" t="s">
        <v>898</v>
      </c>
      <c r="I1" s="8" t="s">
        <v>899</v>
      </c>
      <c r="J1" s="8" t="s">
        <v>900</v>
      </c>
      <c r="K1" s="8" t="s">
        <v>901</v>
      </c>
      <c r="L1" s="8" t="s">
        <v>902</v>
      </c>
      <c r="M1" s="8" t="s">
        <v>903</v>
      </c>
      <c r="N1" s="8" t="s">
        <v>904</v>
      </c>
      <c r="O1" s="8" t="s">
        <v>905</v>
      </c>
      <c r="P1" s="8" t="s">
        <v>906</v>
      </c>
      <c r="Q1" s="8" t="s">
        <v>907</v>
      </c>
      <c r="R1" s="8" t="s">
        <v>908</v>
      </c>
      <c r="S1" s="8" t="s">
        <v>909</v>
      </c>
      <c r="T1" s="8" t="s">
        <v>910</v>
      </c>
      <c r="U1" s="8" t="s">
        <v>911</v>
      </c>
      <c r="V1" s="8" t="s">
        <v>912</v>
      </c>
      <c r="W1" s="8" t="s">
        <v>913</v>
      </c>
      <c r="X1" s="8" t="s">
        <v>914</v>
      </c>
      <c r="Y1" s="8" t="s">
        <v>915</v>
      </c>
      <c r="Z1" s="8" t="s">
        <v>916</v>
      </c>
      <c r="AA1" s="8" t="s">
        <v>917</v>
      </c>
      <c r="AB1" s="8" t="s">
        <v>918</v>
      </c>
      <c r="AC1" s="8" t="s">
        <v>919</v>
      </c>
      <c r="AD1" s="9" t="s">
        <v>920</v>
      </c>
      <c r="AE1" s="9" t="s">
        <v>921</v>
      </c>
      <c r="AF1" s="8" t="s">
        <v>922</v>
      </c>
      <c r="AG1" s="8" t="s">
        <v>923</v>
      </c>
      <c r="AH1" s="8" t="s">
        <v>924</v>
      </c>
      <c r="AI1" s="8" t="s">
        <v>925</v>
      </c>
      <c r="AJ1" s="8" t="s">
        <v>926</v>
      </c>
      <c r="AK1" s="8" t="s">
        <v>927</v>
      </c>
      <c r="AL1" s="8" t="s">
        <v>928</v>
      </c>
      <c r="AM1" s="8" t="s">
        <v>929</v>
      </c>
      <c r="AN1" s="8" t="s">
        <v>930</v>
      </c>
      <c r="AO1" s="8" t="s">
        <v>931</v>
      </c>
      <c r="AP1" s="8" t="s">
        <v>932</v>
      </c>
      <c r="AQ1" s="41" t="s">
        <v>933</v>
      </c>
      <c r="AR1" s="41" t="s">
        <v>934</v>
      </c>
      <c r="AS1" s="41" t="s">
        <v>935</v>
      </c>
      <c r="AT1" s="41" t="s">
        <v>936</v>
      </c>
      <c r="AU1" s="41" t="s">
        <v>937</v>
      </c>
    </row>
    <row r="2" spans="1:47" s="45" customFormat="1" ht="11.25" customHeight="1">
      <c r="A2" s="11" t="s">
        <v>938</v>
      </c>
      <c r="B2" s="11" t="s">
        <v>28</v>
      </c>
      <c r="C2" s="42" t="s">
        <v>72</v>
      </c>
      <c r="D2" s="42" t="s">
        <v>939</v>
      </c>
      <c r="E2" s="11" t="s">
        <v>29</v>
      </c>
      <c r="F2" s="42" t="s">
        <v>30</v>
      </c>
      <c r="G2" s="43" t="s">
        <v>940</v>
      </c>
      <c r="H2" s="42" t="s">
        <v>941</v>
      </c>
      <c r="I2" s="42" t="s">
        <v>942</v>
      </c>
      <c r="J2" s="42" t="s">
        <v>943</v>
      </c>
      <c r="K2" s="42" t="s">
        <v>944</v>
      </c>
      <c r="L2" s="42" t="s">
        <v>945</v>
      </c>
      <c r="M2" s="42">
        <v>31</v>
      </c>
      <c r="N2" s="42" t="s">
        <v>946</v>
      </c>
      <c r="O2" s="42" t="s">
        <v>947</v>
      </c>
      <c r="P2" s="42" t="s">
        <v>948</v>
      </c>
      <c r="Q2" s="42">
        <v>2007</v>
      </c>
      <c r="R2" s="42" t="s">
        <v>949</v>
      </c>
      <c r="S2" s="42" t="s">
        <v>950</v>
      </c>
      <c r="T2" s="42" t="s">
        <v>951</v>
      </c>
      <c r="U2" s="42" t="s">
        <v>952</v>
      </c>
      <c r="V2" s="42" t="s">
        <v>953</v>
      </c>
      <c r="W2" s="42" t="s">
        <v>954</v>
      </c>
      <c r="X2" s="42" t="s">
        <v>955</v>
      </c>
      <c r="Y2" s="42" t="s">
        <v>956</v>
      </c>
      <c r="Z2" s="42" t="s">
        <v>957</v>
      </c>
      <c r="AA2" s="44" t="s">
        <v>958</v>
      </c>
      <c r="AB2" s="42" t="s">
        <v>959</v>
      </c>
      <c r="AC2" s="42" t="s">
        <v>960</v>
      </c>
      <c r="AD2" s="45" t="s">
        <v>961</v>
      </c>
      <c r="AE2" s="45" t="s">
        <v>962</v>
      </c>
      <c r="AF2" s="45" t="s">
        <v>963</v>
      </c>
      <c r="AG2" s="45" t="s">
        <v>964</v>
      </c>
      <c r="AH2" s="45" t="s">
        <v>965</v>
      </c>
      <c r="AI2" s="45" t="s">
        <v>966</v>
      </c>
      <c r="AJ2" s="43" t="s">
        <v>967</v>
      </c>
      <c r="AK2" s="43" t="s">
        <v>968</v>
      </c>
      <c r="AL2" s="45" t="s">
        <v>969</v>
      </c>
      <c r="AM2" s="45" t="s">
        <v>970</v>
      </c>
      <c r="AN2" s="45" t="s">
        <v>971</v>
      </c>
      <c r="AO2" s="45">
        <v>563878</v>
      </c>
      <c r="AP2" s="46" t="s">
        <v>972</v>
      </c>
      <c r="AQ2" s="45" t="s">
        <v>29</v>
      </c>
      <c r="AR2" s="45">
        <v>7.67</v>
      </c>
      <c r="AS2" s="45" t="s">
        <v>973</v>
      </c>
      <c r="AT2" s="47">
        <v>1</v>
      </c>
      <c r="AU2" s="45" t="s">
        <v>974</v>
      </c>
    </row>
    <row r="3" spans="1:47" s="45" customFormat="1" ht="11.25" customHeight="1">
      <c r="A3" s="11" t="s">
        <v>17</v>
      </c>
      <c r="B3" s="11" t="s">
        <v>975</v>
      </c>
      <c r="C3" s="42" t="s">
        <v>94</v>
      </c>
      <c r="D3" s="42" t="s">
        <v>976</v>
      </c>
      <c r="E3" s="11" t="s">
        <v>40</v>
      </c>
      <c r="F3" s="42" t="s">
        <v>30</v>
      </c>
      <c r="G3" s="42" t="s">
        <v>977</v>
      </c>
      <c r="H3" s="42" t="s">
        <v>978</v>
      </c>
      <c r="I3" s="42" t="s">
        <v>979</v>
      </c>
      <c r="J3" s="42" t="s">
        <v>980</v>
      </c>
      <c r="K3" s="42" t="s">
        <v>981</v>
      </c>
      <c r="L3" s="42" t="s">
        <v>982</v>
      </c>
      <c r="M3" s="42">
        <v>1</v>
      </c>
      <c r="N3" s="42" t="s">
        <v>983</v>
      </c>
      <c r="O3" s="42" t="s">
        <v>984</v>
      </c>
      <c r="P3" s="42" t="s">
        <v>985</v>
      </c>
      <c r="Q3" s="42">
        <v>2008</v>
      </c>
      <c r="R3" s="42" t="s">
        <v>986</v>
      </c>
      <c r="S3" s="42" t="s">
        <v>987</v>
      </c>
      <c r="T3" s="42" t="s">
        <v>988</v>
      </c>
      <c r="U3" s="42" t="s">
        <v>989</v>
      </c>
      <c r="V3" s="42" t="s">
        <v>990</v>
      </c>
      <c r="W3" s="42" t="s">
        <v>991</v>
      </c>
      <c r="X3" s="45" t="s">
        <v>992</v>
      </c>
      <c r="Y3" s="44" t="s">
        <v>993</v>
      </c>
      <c r="Z3" s="42" t="s">
        <v>994</v>
      </c>
      <c r="AA3" s="48" t="s">
        <v>995</v>
      </c>
      <c r="AB3" s="42" t="s">
        <v>996</v>
      </c>
      <c r="AC3" s="42" t="s">
        <v>959</v>
      </c>
      <c r="AD3" s="45" t="s">
        <v>997</v>
      </c>
      <c r="AE3" s="45" t="s">
        <v>998</v>
      </c>
      <c r="AF3" s="45" t="s">
        <v>999</v>
      </c>
      <c r="AG3" s="45" t="s">
        <v>1000</v>
      </c>
      <c r="AH3" s="45" t="s">
        <v>1001</v>
      </c>
      <c r="AI3" s="45" t="s">
        <v>1002</v>
      </c>
      <c r="AJ3" s="43" t="s">
        <v>1003</v>
      </c>
      <c r="AK3" s="43" t="s">
        <v>1004</v>
      </c>
      <c r="AL3" s="45" t="s">
        <v>1005</v>
      </c>
      <c r="AM3" s="45" t="s">
        <v>1006</v>
      </c>
      <c r="AN3" s="45" t="s">
        <v>1007</v>
      </c>
      <c r="AO3" s="45">
        <v>612486</v>
      </c>
      <c r="AP3" s="46" t="s">
        <v>1008</v>
      </c>
      <c r="AQ3" s="45" t="s">
        <v>40</v>
      </c>
      <c r="AR3" s="45">
        <v>7.33</v>
      </c>
      <c r="AS3" s="45" t="s">
        <v>1009</v>
      </c>
      <c r="AT3" s="47">
        <v>0.95</v>
      </c>
      <c r="AU3" s="45" t="s">
        <v>1010</v>
      </c>
    </row>
    <row r="4" spans="1:47" s="45" customFormat="1" ht="11.25" customHeight="1">
      <c r="A4" s="11" t="s">
        <v>23</v>
      </c>
      <c r="B4" s="11" t="s">
        <v>1011</v>
      </c>
      <c r="C4" s="45" t="s">
        <v>94</v>
      </c>
      <c r="D4" s="45" t="s">
        <v>1012</v>
      </c>
      <c r="E4" s="11" t="s">
        <v>49</v>
      </c>
      <c r="F4" s="42" t="s">
        <v>30</v>
      </c>
      <c r="G4" s="42" t="s">
        <v>1013</v>
      </c>
      <c r="H4" s="42" t="s">
        <v>1014</v>
      </c>
      <c r="I4" s="42" t="s">
        <v>1015</v>
      </c>
      <c r="J4" s="42" t="s">
        <v>1016</v>
      </c>
      <c r="K4" s="42" t="s">
        <v>1017</v>
      </c>
      <c r="L4" s="42" t="s">
        <v>1018</v>
      </c>
      <c r="M4" s="42">
        <v>2</v>
      </c>
      <c r="N4" s="42" t="s">
        <v>1019</v>
      </c>
      <c r="O4" s="42" t="s">
        <v>1020</v>
      </c>
      <c r="P4" s="42" t="s">
        <v>1021</v>
      </c>
      <c r="Q4" s="42">
        <v>2009</v>
      </c>
      <c r="R4" s="42" t="s">
        <v>1022</v>
      </c>
      <c r="S4" s="42"/>
      <c r="T4" s="42" t="s">
        <v>1023</v>
      </c>
      <c r="U4" s="42" t="s">
        <v>1024</v>
      </c>
      <c r="V4" s="45" t="s">
        <v>1025</v>
      </c>
      <c r="W4" s="42" t="s">
        <v>1026</v>
      </c>
      <c r="X4" s="45" t="s">
        <v>1027</v>
      </c>
      <c r="Y4" s="48" t="s">
        <v>1028</v>
      </c>
      <c r="Z4" s="42" t="s">
        <v>1029</v>
      </c>
      <c r="AA4" s="42" t="s">
        <v>1030</v>
      </c>
      <c r="AB4" s="42" t="s">
        <v>1031</v>
      </c>
      <c r="AC4" s="44" t="s">
        <v>1032</v>
      </c>
      <c r="AD4" s="45" t="s">
        <v>1033</v>
      </c>
      <c r="AE4" s="45" t="s">
        <v>1034</v>
      </c>
      <c r="AF4" s="45" t="s">
        <v>1035</v>
      </c>
      <c r="AG4" s="45" t="s">
        <v>1036</v>
      </c>
      <c r="AH4" s="45" t="s">
        <v>1037</v>
      </c>
      <c r="AI4" s="45" t="s">
        <v>1002</v>
      </c>
      <c r="AJ4" s="43" t="s">
        <v>1003</v>
      </c>
      <c r="AK4" s="43" t="s">
        <v>1004</v>
      </c>
      <c r="AL4" s="45" t="s">
        <v>1038</v>
      </c>
      <c r="AM4" s="45" t="s">
        <v>1039</v>
      </c>
      <c r="AN4" s="45" t="s">
        <v>1040</v>
      </c>
      <c r="AO4" s="45">
        <v>567384</v>
      </c>
      <c r="AP4" s="46" t="s">
        <v>1041</v>
      </c>
      <c r="AQ4" s="45" t="s">
        <v>49</v>
      </c>
      <c r="AR4" s="45">
        <v>7</v>
      </c>
      <c r="AT4" s="47">
        <v>0.9</v>
      </c>
      <c r="AU4" s="45" t="s">
        <v>10</v>
      </c>
    </row>
    <row r="5" spans="1:47" s="45" customFormat="1" ht="11.25" customHeight="1">
      <c r="A5" s="11" t="s">
        <v>1042</v>
      </c>
      <c r="B5" s="11" t="s">
        <v>1043</v>
      </c>
      <c r="C5" s="42" t="s">
        <v>94</v>
      </c>
      <c r="D5" s="42" t="s">
        <v>1044</v>
      </c>
      <c r="E5" s="11" t="s">
        <v>56</v>
      </c>
      <c r="F5" s="42" t="s">
        <v>30</v>
      </c>
      <c r="G5" s="42" t="s">
        <v>1045</v>
      </c>
      <c r="H5" s="42" t="s">
        <v>1046</v>
      </c>
      <c r="I5" s="42"/>
      <c r="J5" s="42" t="s">
        <v>1047</v>
      </c>
      <c r="K5" s="42"/>
      <c r="L5" s="42" t="s">
        <v>1048</v>
      </c>
      <c r="M5" s="42">
        <v>3</v>
      </c>
      <c r="N5" s="42" t="s">
        <v>1049</v>
      </c>
      <c r="O5" s="42" t="s">
        <v>1050</v>
      </c>
      <c r="P5" s="42"/>
      <c r="Q5" s="42">
        <v>2010</v>
      </c>
      <c r="R5" s="42" t="s">
        <v>1051</v>
      </c>
      <c r="S5" s="42"/>
      <c r="T5" s="42" t="s">
        <v>1052</v>
      </c>
      <c r="U5" s="42" t="s">
        <v>1053</v>
      </c>
      <c r="V5" s="45" t="s">
        <v>1054</v>
      </c>
      <c r="W5" s="42" t="s">
        <v>1055</v>
      </c>
      <c r="X5" s="42" t="s">
        <v>1056</v>
      </c>
      <c r="Y5" s="42" t="s">
        <v>1057</v>
      </c>
      <c r="Z5" s="42" t="s">
        <v>1058</v>
      </c>
      <c r="AA5" s="42"/>
      <c r="AB5" s="45" t="s">
        <v>1059</v>
      </c>
      <c r="AC5" s="49" t="s">
        <v>1060</v>
      </c>
      <c r="AD5" s="45" t="s">
        <v>1061</v>
      </c>
      <c r="AE5" s="45" t="s">
        <v>1062</v>
      </c>
      <c r="AF5" s="45" t="s">
        <v>1063</v>
      </c>
      <c r="AG5" s="45" t="s">
        <v>1064</v>
      </c>
      <c r="AH5" s="45" t="s">
        <v>1065</v>
      </c>
      <c r="AI5" s="45" t="s">
        <v>1066</v>
      </c>
      <c r="AJ5" s="43" t="s">
        <v>1003</v>
      </c>
      <c r="AK5" s="43" t="s">
        <v>1067</v>
      </c>
      <c r="AL5" s="45" t="s">
        <v>1068</v>
      </c>
      <c r="AM5" s="45" t="s">
        <v>1069</v>
      </c>
      <c r="AN5" s="45" t="s">
        <v>1070</v>
      </c>
      <c r="AO5" s="45">
        <v>564028</v>
      </c>
      <c r="AP5" s="46" t="s">
        <v>1071</v>
      </c>
      <c r="AQ5" s="45" t="s">
        <v>56</v>
      </c>
      <c r="AR5" s="45">
        <v>6.67</v>
      </c>
      <c r="AT5" s="47">
        <v>0.85</v>
      </c>
    </row>
    <row r="6" spans="1:47" s="45" customFormat="1" ht="11.25" customHeight="1">
      <c r="A6" s="11" t="s">
        <v>22</v>
      </c>
      <c r="B6" s="11" t="s">
        <v>1072</v>
      </c>
      <c r="C6" s="42" t="s">
        <v>72</v>
      </c>
      <c r="D6" s="42" t="s">
        <v>1073</v>
      </c>
      <c r="E6" s="11" t="s">
        <v>62</v>
      </c>
      <c r="F6" s="42" t="s">
        <v>63</v>
      </c>
      <c r="G6" s="42" t="s">
        <v>235</v>
      </c>
      <c r="H6" s="42" t="s">
        <v>1074</v>
      </c>
      <c r="I6" s="42"/>
      <c r="J6" s="42" t="s">
        <v>1075</v>
      </c>
      <c r="K6" s="42"/>
      <c r="L6" s="42" t="s">
        <v>1076</v>
      </c>
      <c r="M6" s="42">
        <v>4</v>
      </c>
      <c r="N6" s="42" t="s">
        <v>1077</v>
      </c>
      <c r="O6" s="42" t="s">
        <v>1078</v>
      </c>
      <c r="P6" s="42"/>
      <c r="Q6" s="45">
        <v>2011</v>
      </c>
      <c r="R6" s="42" t="s">
        <v>1079</v>
      </c>
      <c r="S6" s="42"/>
      <c r="T6" s="42" t="s">
        <v>1080</v>
      </c>
      <c r="U6" s="45" t="s">
        <v>953</v>
      </c>
      <c r="V6" s="42" t="s">
        <v>1081</v>
      </c>
      <c r="W6" s="42" t="s">
        <v>1082</v>
      </c>
      <c r="X6" s="45" t="s">
        <v>1083</v>
      </c>
      <c r="Y6" s="45" t="s">
        <v>1084</v>
      </c>
      <c r="Z6" s="48" t="s">
        <v>1085</v>
      </c>
      <c r="AA6" s="42"/>
      <c r="AB6" s="42" t="s">
        <v>1086</v>
      </c>
      <c r="AC6" s="42"/>
      <c r="AE6" s="45" t="s">
        <v>1087</v>
      </c>
      <c r="AF6" s="45" t="s">
        <v>1088</v>
      </c>
      <c r="AG6" s="45" t="s">
        <v>1089</v>
      </c>
      <c r="AH6" s="45" t="s">
        <v>1090</v>
      </c>
      <c r="AI6" s="45" t="s">
        <v>1091</v>
      </c>
      <c r="AJ6" s="43" t="s">
        <v>1003</v>
      </c>
      <c r="AK6" s="43" t="s">
        <v>1092</v>
      </c>
      <c r="AL6" s="45" t="s">
        <v>1093</v>
      </c>
      <c r="AM6" s="45" t="s">
        <v>1094</v>
      </c>
      <c r="AN6" s="45" t="s">
        <v>1095</v>
      </c>
      <c r="AO6" s="45">
        <v>512080</v>
      </c>
      <c r="AP6" s="46" t="s">
        <v>1096</v>
      </c>
      <c r="AQ6" s="45" t="s">
        <v>62</v>
      </c>
      <c r="AR6" s="45">
        <v>6.33</v>
      </c>
      <c r="AT6" s="47">
        <v>0.8</v>
      </c>
    </row>
    <row r="7" spans="1:47" s="45" customFormat="1" ht="11.25" customHeight="1">
      <c r="A7" s="11" t="s">
        <v>27</v>
      </c>
      <c r="B7" s="11" t="s">
        <v>1097</v>
      </c>
      <c r="C7" s="42" t="s">
        <v>94</v>
      </c>
      <c r="D7" s="42" t="s">
        <v>1098</v>
      </c>
      <c r="E7" s="11" t="s">
        <v>63</v>
      </c>
      <c r="F7" s="42" t="s">
        <v>63</v>
      </c>
      <c r="G7" s="42" t="s">
        <v>1099</v>
      </c>
      <c r="H7" s="42"/>
      <c r="I7" s="42"/>
      <c r="J7" s="42" t="s">
        <v>1100</v>
      </c>
      <c r="K7" s="42"/>
      <c r="L7" s="42" t="s">
        <v>1101</v>
      </c>
      <c r="M7" s="42">
        <v>5</v>
      </c>
      <c r="N7" s="42" t="s">
        <v>1102</v>
      </c>
      <c r="O7" s="42" t="s">
        <v>1103</v>
      </c>
      <c r="P7" s="42"/>
      <c r="Q7" s="45">
        <v>2012</v>
      </c>
      <c r="R7" s="42" t="s">
        <v>1104</v>
      </c>
      <c r="S7" s="42"/>
      <c r="T7" s="42" t="s">
        <v>1105</v>
      </c>
      <c r="U7" s="42"/>
      <c r="V7" s="42" t="s">
        <v>1106</v>
      </c>
      <c r="W7" s="42" t="s">
        <v>1107</v>
      </c>
      <c r="X7" s="42" t="s">
        <v>1108</v>
      </c>
      <c r="Y7" s="48" t="s">
        <v>1109</v>
      </c>
      <c r="Z7" s="42" t="s">
        <v>1110</v>
      </c>
      <c r="AA7" s="42"/>
      <c r="AB7" s="42"/>
      <c r="AC7" s="42"/>
      <c r="AE7" s="45" t="s">
        <v>1111</v>
      </c>
      <c r="AF7" s="45" t="s">
        <v>1112</v>
      </c>
      <c r="AG7" s="45" t="s">
        <v>1113</v>
      </c>
      <c r="AH7" s="45" t="s">
        <v>1114</v>
      </c>
      <c r="AI7" s="45" t="s">
        <v>1115</v>
      </c>
      <c r="AJ7" s="43" t="s">
        <v>1003</v>
      </c>
      <c r="AK7" s="43" t="s">
        <v>1116</v>
      </c>
      <c r="AL7" s="45" t="s">
        <v>1117</v>
      </c>
      <c r="AM7" s="45" t="s">
        <v>1118</v>
      </c>
      <c r="AN7" s="45" t="s">
        <v>1119</v>
      </c>
      <c r="AO7" s="45">
        <v>562225</v>
      </c>
      <c r="AP7" s="46" t="s">
        <v>1120</v>
      </c>
      <c r="AQ7" s="45" t="s">
        <v>63</v>
      </c>
      <c r="AR7" s="45">
        <v>6</v>
      </c>
      <c r="AT7" s="47">
        <v>0.75</v>
      </c>
    </row>
    <row r="8" spans="1:47" s="45" customFormat="1" ht="11.25" customHeight="1">
      <c r="A8" s="11" t="s">
        <v>15</v>
      </c>
      <c r="B8" s="11" t="s">
        <v>1121</v>
      </c>
      <c r="C8" s="42" t="s">
        <v>72</v>
      </c>
      <c r="D8" s="42" t="s">
        <v>1122</v>
      </c>
      <c r="E8" s="42" t="s">
        <v>68</v>
      </c>
      <c r="F8" s="42" t="s">
        <v>63</v>
      </c>
      <c r="G8" s="42"/>
      <c r="H8" s="42"/>
      <c r="I8" s="42"/>
      <c r="J8" s="42"/>
      <c r="K8" s="42"/>
      <c r="L8" s="42" t="s">
        <v>1123</v>
      </c>
      <c r="M8" s="42">
        <v>6</v>
      </c>
      <c r="N8" s="42" t="s">
        <v>1124</v>
      </c>
      <c r="O8" s="42" t="s">
        <v>1125</v>
      </c>
      <c r="P8" s="42"/>
      <c r="Q8" s="45">
        <v>2013</v>
      </c>
      <c r="R8" s="42" t="s">
        <v>1126</v>
      </c>
      <c r="S8" s="42"/>
      <c r="T8" s="42"/>
      <c r="U8" s="42"/>
      <c r="V8" s="42" t="s">
        <v>954</v>
      </c>
      <c r="X8" s="42" t="s">
        <v>1127</v>
      </c>
      <c r="Y8" s="48" t="s">
        <v>1128</v>
      </c>
      <c r="Z8" s="42" t="s">
        <v>1129</v>
      </c>
      <c r="AA8" s="42"/>
      <c r="AB8" s="42"/>
      <c r="AC8" s="42"/>
      <c r="AE8" s="45" t="s">
        <v>1130</v>
      </c>
      <c r="AF8" s="45" t="s">
        <v>1131</v>
      </c>
      <c r="AG8" s="48" t="s">
        <v>1132</v>
      </c>
      <c r="AH8" s="45" t="s">
        <v>1133</v>
      </c>
      <c r="AI8" s="45" t="s">
        <v>1134</v>
      </c>
      <c r="AJ8" s="43" t="s">
        <v>1135</v>
      </c>
      <c r="AK8" s="43" t="s">
        <v>1134</v>
      </c>
      <c r="AL8" s="45" t="s">
        <v>1136</v>
      </c>
      <c r="AM8" s="45" t="s">
        <v>1137</v>
      </c>
      <c r="AN8" s="45" t="s">
        <v>1138</v>
      </c>
      <c r="AO8" s="45">
        <v>556185</v>
      </c>
      <c r="AP8" s="46" t="s">
        <v>1139</v>
      </c>
      <c r="AQ8" s="45" t="s">
        <v>68</v>
      </c>
      <c r="AR8" s="45">
        <v>5.67</v>
      </c>
      <c r="AT8" s="47">
        <v>0.7</v>
      </c>
    </row>
    <row r="9" spans="1:47" s="45" customFormat="1" ht="11.25" customHeight="1">
      <c r="A9" s="11" t="s">
        <v>21</v>
      </c>
      <c r="B9" s="11" t="s">
        <v>39</v>
      </c>
      <c r="C9" s="42" t="s">
        <v>72</v>
      </c>
      <c r="D9" s="42" t="s">
        <v>1140</v>
      </c>
      <c r="E9" s="42" t="s">
        <v>71</v>
      </c>
      <c r="F9" s="42" t="s">
        <v>72</v>
      </c>
      <c r="G9" s="42"/>
      <c r="H9" s="42"/>
      <c r="I9" s="42"/>
      <c r="J9" s="42"/>
      <c r="K9" s="42"/>
      <c r="L9" s="42" t="s">
        <v>1141</v>
      </c>
      <c r="M9" s="42">
        <v>7</v>
      </c>
      <c r="N9" s="42" t="s">
        <v>1142</v>
      </c>
      <c r="O9" s="42" t="s">
        <v>1143</v>
      </c>
      <c r="P9" s="42"/>
      <c r="Q9" s="42">
        <v>2014</v>
      </c>
      <c r="R9" s="42" t="s">
        <v>1144</v>
      </c>
      <c r="S9" s="42"/>
      <c r="T9" s="42"/>
      <c r="V9" s="42"/>
      <c r="W9" s="42"/>
      <c r="X9" s="42" t="s">
        <v>1145</v>
      </c>
      <c r="Z9" s="42" t="s">
        <v>1146</v>
      </c>
      <c r="AA9" s="42"/>
      <c r="AB9" s="42"/>
      <c r="AC9" s="42"/>
      <c r="AE9" s="45" t="s">
        <v>1147</v>
      </c>
      <c r="AF9" s="45" t="s">
        <v>1148</v>
      </c>
      <c r="AG9" s="45" t="s">
        <v>1149</v>
      </c>
      <c r="AH9" s="45" t="s">
        <v>1150</v>
      </c>
      <c r="AI9" s="45" t="s">
        <v>1151</v>
      </c>
      <c r="AJ9" s="43" t="s">
        <v>1152</v>
      </c>
      <c r="AK9" s="43" t="s">
        <v>1151</v>
      </c>
      <c r="AL9" s="45" t="s">
        <v>1153</v>
      </c>
      <c r="AM9" s="45" t="s">
        <v>1154</v>
      </c>
      <c r="AN9" s="45" t="s">
        <v>1155</v>
      </c>
      <c r="AO9" s="45">
        <v>556171</v>
      </c>
      <c r="AP9" s="46" t="s">
        <v>1156</v>
      </c>
      <c r="AQ9" s="45" t="s">
        <v>71</v>
      </c>
      <c r="AR9" s="45">
        <v>5.33</v>
      </c>
      <c r="AT9" s="47">
        <v>0.65</v>
      </c>
    </row>
    <row r="10" spans="1:47" s="45" customFormat="1" ht="11.25" customHeight="1">
      <c r="A10" s="11" t="s">
        <v>14</v>
      </c>
      <c r="B10" s="11" t="s">
        <v>31</v>
      </c>
      <c r="C10" s="42" t="s">
        <v>72</v>
      </c>
      <c r="D10" s="42" t="s">
        <v>1157</v>
      </c>
      <c r="E10" s="42" t="s">
        <v>72</v>
      </c>
      <c r="F10" s="42" t="s">
        <v>72</v>
      </c>
      <c r="G10" s="43"/>
      <c r="H10" s="42"/>
      <c r="I10" s="42"/>
      <c r="J10" s="42"/>
      <c r="K10" s="42"/>
      <c r="L10" s="42" t="s">
        <v>1158</v>
      </c>
      <c r="M10" s="42">
        <v>8</v>
      </c>
      <c r="N10" s="42" t="s">
        <v>1159</v>
      </c>
      <c r="O10" s="42" t="s">
        <v>1160</v>
      </c>
      <c r="P10" s="42"/>
      <c r="Q10" s="42">
        <v>2015</v>
      </c>
      <c r="R10" s="42" t="s">
        <v>1161</v>
      </c>
      <c r="S10" s="42"/>
      <c r="T10" s="42"/>
      <c r="V10" s="42"/>
      <c r="W10" s="42"/>
      <c r="X10" s="42"/>
      <c r="Z10" s="42"/>
      <c r="AB10" s="42"/>
      <c r="AC10" s="42"/>
      <c r="AE10" s="45" t="s">
        <v>1162</v>
      </c>
      <c r="AF10" s="45" t="s">
        <v>1163</v>
      </c>
      <c r="AG10" s="45" t="s">
        <v>1164</v>
      </c>
      <c r="AH10" s="45" t="s">
        <v>1165</v>
      </c>
      <c r="AI10" s="45" t="s">
        <v>1166</v>
      </c>
      <c r="AJ10" s="43" t="s">
        <v>1003</v>
      </c>
      <c r="AK10" s="43" t="s">
        <v>1167</v>
      </c>
      <c r="AL10" s="45" t="s">
        <v>1168</v>
      </c>
      <c r="AM10" s="45" t="s">
        <v>1169</v>
      </c>
      <c r="AN10" s="45" t="s">
        <v>1170</v>
      </c>
      <c r="AO10" s="45">
        <v>556170</v>
      </c>
      <c r="AP10" s="46" t="s">
        <v>55</v>
      </c>
      <c r="AQ10" s="45" t="s">
        <v>72</v>
      </c>
      <c r="AR10" s="45">
        <v>5</v>
      </c>
      <c r="AT10" s="47">
        <v>0.6</v>
      </c>
    </row>
    <row r="11" spans="1:47" s="45" customFormat="1" ht="11.25" customHeight="1">
      <c r="A11" s="11" t="s">
        <v>18</v>
      </c>
      <c r="B11" s="11" t="s">
        <v>41</v>
      </c>
      <c r="C11" s="42" t="s">
        <v>63</v>
      </c>
      <c r="D11" s="42"/>
      <c r="E11" s="42" t="s">
        <v>78</v>
      </c>
      <c r="F11" s="42" t="s">
        <v>72</v>
      </c>
      <c r="G11" s="42"/>
      <c r="H11" s="42"/>
      <c r="I11" s="42"/>
      <c r="J11" s="42"/>
      <c r="K11" s="42"/>
      <c r="L11" s="42" t="s">
        <v>1171</v>
      </c>
      <c r="M11" s="42">
        <v>9</v>
      </c>
      <c r="N11" s="42" t="s">
        <v>1172</v>
      </c>
      <c r="O11" s="42" t="s">
        <v>1173</v>
      </c>
      <c r="P11" s="42"/>
      <c r="Q11" s="42">
        <v>2016</v>
      </c>
      <c r="R11" s="42"/>
      <c r="S11" s="42"/>
      <c r="T11" s="42"/>
      <c r="U11" s="42"/>
      <c r="V11" s="42"/>
      <c r="W11" s="42"/>
      <c r="X11" s="42"/>
      <c r="Y11" s="42"/>
      <c r="Z11" s="42"/>
      <c r="AA11" s="42"/>
      <c r="AB11" s="42"/>
      <c r="AC11" s="42"/>
      <c r="AF11" s="45" t="s">
        <v>1174</v>
      </c>
      <c r="AG11" s="45" t="s">
        <v>1175</v>
      </c>
      <c r="AH11" s="45" t="s">
        <v>1176</v>
      </c>
      <c r="AI11" s="45" t="s">
        <v>333</v>
      </c>
      <c r="AJ11" s="43" t="s">
        <v>1003</v>
      </c>
      <c r="AK11" s="43" t="s">
        <v>1177</v>
      </c>
      <c r="AL11" s="45" t="s">
        <v>333</v>
      </c>
      <c r="AM11" s="45" t="s">
        <v>1178</v>
      </c>
      <c r="AN11" s="45" t="s">
        <v>1179</v>
      </c>
      <c r="AO11" s="45">
        <v>556167</v>
      </c>
      <c r="AP11" s="46" t="s">
        <v>1180</v>
      </c>
      <c r="AQ11" s="45" t="s">
        <v>78</v>
      </c>
      <c r="AR11" s="45">
        <v>4.67</v>
      </c>
      <c r="AT11" s="47">
        <v>0.55000000000000004</v>
      </c>
    </row>
    <row r="12" spans="1:47" s="45" customFormat="1" ht="11.25" customHeight="1">
      <c r="A12" s="11" t="s">
        <v>16</v>
      </c>
      <c r="B12" s="11" t="s">
        <v>32</v>
      </c>
      <c r="C12" s="42" t="s">
        <v>136</v>
      </c>
      <c r="D12" s="42"/>
      <c r="E12" s="42" t="s">
        <v>93</v>
      </c>
      <c r="F12" s="42" t="s">
        <v>94</v>
      </c>
      <c r="G12" s="42"/>
      <c r="H12" s="42"/>
      <c r="I12" s="42"/>
      <c r="J12" s="42"/>
      <c r="K12" s="42"/>
      <c r="L12" s="42" t="s">
        <v>1181</v>
      </c>
      <c r="M12" s="42">
        <v>10</v>
      </c>
      <c r="N12" s="42" t="s">
        <v>1182</v>
      </c>
      <c r="O12" s="42" t="s">
        <v>1173</v>
      </c>
      <c r="P12" s="42"/>
      <c r="Q12" s="42">
        <v>2017</v>
      </c>
      <c r="R12" s="42"/>
      <c r="S12" s="42"/>
      <c r="T12" s="42"/>
      <c r="U12" s="42"/>
      <c r="V12" s="42"/>
      <c r="W12" s="42"/>
      <c r="X12" s="42"/>
      <c r="Y12" s="42"/>
      <c r="Z12" s="42"/>
      <c r="AA12" s="42"/>
      <c r="AB12" s="42"/>
      <c r="AC12" s="42"/>
      <c r="AF12" s="45" t="s">
        <v>1183</v>
      </c>
      <c r="AG12" s="45" t="s">
        <v>1184</v>
      </c>
      <c r="AH12" s="45" t="s">
        <v>1185</v>
      </c>
      <c r="AI12" s="45" t="s">
        <v>1186</v>
      </c>
      <c r="AJ12" s="43" t="s">
        <v>1187</v>
      </c>
      <c r="AK12" s="43" t="s">
        <v>1186</v>
      </c>
      <c r="AL12" s="45" t="s">
        <v>1188</v>
      </c>
      <c r="AM12" s="45" t="s">
        <v>1189</v>
      </c>
      <c r="AN12" s="45" t="s">
        <v>1190</v>
      </c>
      <c r="AO12" s="45">
        <v>556168</v>
      </c>
      <c r="AP12" s="46" t="s">
        <v>1191</v>
      </c>
      <c r="AQ12" s="45" t="s">
        <v>93</v>
      </c>
      <c r="AR12" s="45">
        <v>4.33</v>
      </c>
      <c r="AT12" s="47">
        <v>0.5</v>
      </c>
    </row>
    <row r="13" spans="1:47" s="45" customFormat="1" ht="11.25" customHeight="1">
      <c r="A13" s="45" t="s">
        <v>20</v>
      </c>
      <c r="B13" s="11" t="s">
        <v>42</v>
      </c>
      <c r="C13" s="42" t="s">
        <v>72</v>
      </c>
      <c r="D13" s="42"/>
      <c r="E13" s="42" t="s">
        <v>94</v>
      </c>
      <c r="F13" s="42" t="s">
        <v>94</v>
      </c>
      <c r="G13" s="42"/>
      <c r="H13" s="42"/>
      <c r="I13" s="42"/>
      <c r="J13" s="42"/>
      <c r="K13" s="42"/>
      <c r="L13" s="42" t="s">
        <v>1192</v>
      </c>
      <c r="M13" s="42">
        <v>11</v>
      </c>
      <c r="N13" s="42" t="s">
        <v>1193</v>
      </c>
      <c r="O13" s="42" t="s">
        <v>1194</v>
      </c>
      <c r="P13" s="42"/>
      <c r="Q13" s="42">
        <v>2018</v>
      </c>
      <c r="R13" s="42"/>
      <c r="S13" s="42"/>
      <c r="T13" s="42"/>
      <c r="U13" s="42"/>
      <c r="V13" s="42"/>
      <c r="W13" s="42"/>
      <c r="X13" s="42"/>
      <c r="Y13" s="42"/>
      <c r="Z13" s="42"/>
      <c r="AA13" s="42"/>
      <c r="AB13" s="42"/>
      <c r="AC13" s="42"/>
      <c r="AF13" s="45" t="s">
        <v>1195</v>
      </c>
      <c r="AG13" s="48" t="s">
        <v>1196</v>
      </c>
      <c r="AH13" s="45" t="s">
        <v>1197</v>
      </c>
      <c r="AI13" s="45" t="s">
        <v>1198</v>
      </c>
      <c r="AJ13" s="43" t="s">
        <v>1199</v>
      </c>
      <c r="AK13" s="43" t="s">
        <v>1198</v>
      </c>
      <c r="AL13" s="45" t="s">
        <v>1188</v>
      </c>
      <c r="AM13" s="45" t="s">
        <v>1189</v>
      </c>
      <c r="AN13" s="45" t="s">
        <v>1200</v>
      </c>
      <c r="AO13" s="45">
        <v>572557</v>
      </c>
      <c r="AP13" s="46" t="s">
        <v>1201</v>
      </c>
      <c r="AQ13" s="45" t="s">
        <v>94</v>
      </c>
      <c r="AR13" s="45">
        <v>4</v>
      </c>
      <c r="AT13" s="47">
        <v>0.45</v>
      </c>
    </row>
    <row r="14" spans="1:47" s="45" customFormat="1" ht="11.25" customHeight="1">
      <c r="A14" s="45" t="s">
        <v>26</v>
      </c>
      <c r="B14" s="45" t="s">
        <v>50</v>
      </c>
      <c r="C14" s="42" t="s">
        <v>94</v>
      </c>
      <c r="D14" s="42"/>
      <c r="E14" s="42" t="s">
        <v>122</v>
      </c>
      <c r="F14" s="42" t="s">
        <v>94</v>
      </c>
      <c r="G14" s="42"/>
      <c r="H14" s="42"/>
      <c r="I14" s="42"/>
      <c r="J14" s="42"/>
      <c r="K14" s="42"/>
      <c r="L14" s="42"/>
      <c r="M14" s="42">
        <v>12</v>
      </c>
      <c r="N14" s="42" t="s">
        <v>1202</v>
      </c>
      <c r="O14" s="42" t="s">
        <v>1203</v>
      </c>
      <c r="P14" s="42"/>
      <c r="Q14" s="42">
        <v>2019</v>
      </c>
      <c r="R14" s="42"/>
      <c r="S14" s="42"/>
      <c r="T14" s="42"/>
      <c r="U14" s="42"/>
      <c r="V14" s="42"/>
      <c r="W14" s="42"/>
      <c r="X14" s="42"/>
      <c r="Y14" s="42"/>
      <c r="Z14" s="42"/>
      <c r="AA14" s="42"/>
      <c r="AB14" s="42"/>
      <c r="AC14" s="42"/>
      <c r="AF14" s="45" t="s">
        <v>1204</v>
      </c>
      <c r="AG14" s="45" t="s">
        <v>1205</v>
      </c>
      <c r="AH14" s="45" t="s">
        <v>1206</v>
      </c>
      <c r="AI14" s="45" t="s">
        <v>1207</v>
      </c>
      <c r="AJ14" s="43" t="s">
        <v>1208</v>
      </c>
      <c r="AK14" s="43" t="s">
        <v>1209</v>
      </c>
      <c r="AL14" s="45" t="s">
        <v>1209</v>
      </c>
      <c r="AM14" s="45" t="s">
        <v>1210</v>
      </c>
      <c r="AN14" s="45" t="s">
        <v>1211</v>
      </c>
      <c r="AO14" s="45">
        <v>197</v>
      </c>
      <c r="AP14" s="46" t="s">
        <v>1212</v>
      </c>
      <c r="AQ14" s="45" t="s">
        <v>122</v>
      </c>
      <c r="AR14" s="45">
        <v>3.67</v>
      </c>
      <c r="AT14" s="47">
        <v>0.4</v>
      </c>
    </row>
    <row r="15" spans="1:47" s="45" customFormat="1" ht="11.25" customHeight="1">
      <c r="A15" s="45" t="s">
        <v>25</v>
      </c>
      <c r="B15" s="45" t="s">
        <v>57</v>
      </c>
      <c r="C15" s="42" t="s">
        <v>94</v>
      </c>
      <c r="D15" s="42"/>
      <c r="E15" s="42" t="s">
        <v>135</v>
      </c>
      <c r="F15" s="42" t="s">
        <v>136</v>
      </c>
      <c r="G15" s="42"/>
      <c r="H15" s="42"/>
      <c r="I15" s="42"/>
      <c r="J15" s="42"/>
      <c r="K15" s="42"/>
      <c r="L15" s="42"/>
      <c r="M15" s="42">
        <v>13</v>
      </c>
      <c r="N15" s="42" t="s">
        <v>1213</v>
      </c>
      <c r="O15" s="45" t="s">
        <v>1214</v>
      </c>
      <c r="P15" s="42"/>
      <c r="Q15" s="42">
        <v>2020</v>
      </c>
      <c r="R15" s="42"/>
      <c r="S15" s="42"/>
      <c r="T15" s="42"/>
      <c r="U15" s="42"/>
      <c r="V15" s="42"/>
      <c r="W15" s="42"/>
      <c r="X15" s="42"/>
      <c r="Y15" s="42"/>
      <c r="Z15" s="42"/>
      <c r="AA15" s="42"/>
      <c r="AB15" s="42"/>
      <c r="AC15" s="42"/>
      <c r="AF15" s="45" t="s">
        <v>1215</v>
      </c>
      <c r="AG15" s="45" t="s">
        <v>1216</v>
      </c>
      <c r="AH15" s="45" t="s">
        <v>1217</v>
      </c>
      <c r="AI15" s="45" t="s">
        <v>1218</v>
      </c>
      <c r="AJ15" s="43" t="s">
        <v>1003</v>
      </c>
      <c r="AK15" s="43" t="s">
        <v>1219</v>
      </c>
      <c r="AL15" s="45" t="s">
        <v>1220</v>
      </c>
      <c r="AM15" s="45" t="s">
        <v>1221</v>
      </c>
      <c r="AN15" s="45" t="s">
        <v>1222</v>
      </c>
      <c r="AO15" s="45">
        <v>556736</v>
      </c>
      <c r="AP15" s="46" t="s">
        <v>1223</v>
      </c>
      <c r="AQ15" s="45" t="s">
        <v>135</v>
      </c>
      <c r="AR15" s="45">
        <v>3.33</v>
      </c>
      <c r="AT15" s="47">
        <v>0.35</v>
      </c>
    </row>
    <row r="16" spans="1:47" s="45" customFormat="1" ht="11.25" customHeight="1">
      <c r="A16" s="45" t="s">
        <v>19</v>
      </c>
      <c r="B16" s="45" t="s">
        <v>33</v>
      </c>
      <c r="C16" s="42" t="s">
        <v>94</v>
      </c>
      <c r="D16" s="42"/>
      <c r="E16" s="42" t="s">
        <v>136</v>
      </c>
      <c r="F16" s="42" t="s">
        <v>136</v>
      </c>
      <c r="G16" s="42"/>
      <c r="H16" s="42"/>
      <c r="I16" s="42"/>
      <c r="J16" s="42"/>
      <c r="K16" s="42"/>
      <c r="L16" s="42"/>
      <c r="M16" s="42">
        <v>14</v>
      </c>
      <c r="N16" s="42" t="s">
        <v>1224</v>
      </c>
      <c r="O16" s="42" t="s">
        <v>1225</v>
      </c>
      <c r="P16" s="42"/>
      <c r="Q16" s="42">
        <v>2021</v>
      </c>
      <c r="R16" s="42"/>
      <c r="S16" s="42"/>
      <c r="T16" s="42"/>
      <c r="U16" s="42"/>
      <c r="V16" s="42"/>
      <c r="W16" s="42"/>
      <c r="X16" s="42"/>
      <c r="Y16" s="42"/>
      <c r="Z16" s="42"/>
      <c r="AA16" s="42"/>
      <c r="AB16" s="42"/>
      <c r="AC16" s="42"/>
      <c r="AF16" s="45" t="s">
        <v>1226</v>
      </c>
      <c r="AG16" s="45" t="s">
        <v>1227</v>
      </c>
      <c r="AH16" s="45" t="s">
        <v>1228</v>
      </c>
      <c r="AI16" s="45" t="s">
        <v>1229</v>
      </c>
      <c r="AJ16" s="43" t="s">
        <v>1208</v>
      </c>
      <c r="AK16" s="43" t="s">
        <v>1229</v>
      </c>
      <c r="AL16" s="45" t="s">
        <v>1230</v>
      </c>
      <c r="AM16" s="45" t="s">
        <v>1231</v>
      </c>
      <c r="AN16" s="45" t="s">
        <v>1232</v>
      </c>
      <c r="AO16" s="45">
        <v>618339</v>
      </c>
      <c r="AP16" s="46" t="s">
        <v>67</v>
      </c>
      <c r="AQ16" s="45" t="s">
        <v>136</v>
      </c>
      <c r="AR16" s="45">
        <v>3</v>
      </c>
      <c r="AT16" s="47">
        <v>0.3</v>
      </c>
    </row>
    <row r="17" spans="1:46" s="45" customFormat="1" ht="11.25" customHeight="1">
      <c r="A17" s="45" t="s">
        <v>24</v>
      </c>
      <c r="B17" s="45" t="s">
        <v>43</v>
      </c>
      <c r="C17" s="42" t="s">
        <v>63</v>
      </c>
      <c r="D17" s="42"/>
      <c r="E17" s="42" t="s">
        <v>162</v>
      </c>
      <c r="F17" s="42" t="s">
        <v>136</v>
      </c>
      <c r="G17" s="42"/>
      <c r="H17" s="42"/>
      <c r="I17" s="42"/>
      <c r="J17" s="42"/>
      <c r="K17" s="42"/>
      <c r="L17" s="42"/>
      <c r="M17" s="42">
        <v>15</v>
      </c>
      <c r="N17" s="42" t="s">
        <v>1233</v>
      </c>
      <c r="O17" s="42" t="s">
        <v>1234</v>
      </c>
      <c r="P17" s="42"/>
      <c r="Q17" s="42">
        <v>2022</v>
      </c>
      <c r="R17" s="42"/>
      <c r="S17" s="42"/>
      <c r="T17" s="42"/>
      <c r="U17" s="42"/>
      <c r="V17" s="42"/>
      <c r="W17" s="42"/>
      <c r="X17" s="42"/>
      <c r="Y17" s="42"/>
      <c r="Z17" s="42"/>
      <c r="AA17" s="42"/>
      <c r="AB17" s="42"/>
      <c r="AC17" s="42"/>
      <c r="AF17" s="45" t="s">
        <v>1235</v>
      </c>
      <c r="AG17" s="45" t="s">
        <v>1236</v>
      </c>
      <c r="AH17" s="45" t="s">
        <v>1237</v>
      </c>
      <c r="AI17" s="45" t="s">
        <v>1238</v>
      </c>
      <c r="AJ17" s="43" t="s">
        <v>1239</v>
      </c>
      <c r="AK17" s="43" t="s">
        <v>1238</v>
      </c>
      <c r="AL17" s="45" t="s">
        <v>1240</v>
      </c>
      <c r="AM17" s="45" t="s">
        <v>1241</v>
      </c>
      <c r="AN17" s="45" t="s">
        <v>1242</v>
      </c>
      <c r="AO17" s="45">
        <v>410994</v>
      </c>
      <c r="AP17" s="46" t="s">
        <v>1243</v>
      </c>
      <c r="AQ17" s="45" t="s">
        <v>162</v>
      </c>
      <c r="AR17" s="45">
        <v>2.67</v>
      </c>
      <c r="AT17" s="47">
        <v>0.25</v>
      </c>
    </row>
    <row r="18" spans="1:46" s="45" customFormat="1" ht="11.25" customHeight="1">
      <c r="B18" s="45" t="s">
        <v>37</v>
      </c>
      <c r="C18" s="44" t="s">
        <v>94</v>
      </c>
      <c r="D18" s="44"/>
      <c r="E18" s="12" t="s">
        <v>172</v>
      </c>
      <c r="F18" s="42" t="s">
        <v>163</v>
      </c>
      <c r="G18" s="42"/>
      <c r="H18" s="42"/>
      <c r="I18" s="42"/>
      <c r="J18" s="42"/>
      <c r="K18" s="42"/>
      <c r="L18" s="42"/>
      <c r="M18" s="42">
        <v>16</v>
      </c>
      <c r="N18" s="42" t="s">
        <v>1244</v>
      </c>
      <c r="O18" s="45" t="s">
        <v>1245</v>
      </c>
      <c r="P18" s="42"/>
      <c r="Q18" s="42">
        <v>2023</v>
      </c>
      <c r="R18" s="42"/>
      <c r="S18" s="42"/>
      <c r="T18" s="42"/>
      <c r="U18" s="42"/>
      <c r="V18" s="42"/>
      <c r="W18" s="42"/>
      <c r="X18" s="42"/>
      <c r="Y18" s="42"/>
      <c r="Z18" s="42"/>
      <c r="AA18" s="42"/>
      <c r="AB18" s="42"/>
      <c r="AC18" s="42"/>
      <c r="AF18" s="45" t="s">
        <v>1246</v>
      </c>
      <c r="AG18" s="45" t="s">
        <v>1247</v>
      </c>
      <c r="AH18" s="45" t="s">
        <v>1248</v>
      </c>
      <c r="AI18" s="45" t="s">
        <v>1249</v>
      </c>
      <c r="AJ18" s="43" t="s">
        <v>1239</v>
      </c>
      <c r="AK18" s="43" t="s">
        <v>1249</v>
      </c>
      <c r="AL18" s="45" t="s">
        <v>1240</v>
      </c>
      <c r="AM18" s="45" t="s">
        <v>1241</v>
      </c>
      <c r="AN18" s="45" t="s">
        <v>1250</v>
      </c>
      <c r="AO18" s="45">
        <v>480405</v>
      </c>
      <c r="AP18" s="46" t="s">
        <v>1251</v>
      </c>
      <c r="AQ18" s="45" t="s">
        <v>172</v>
      </c>
      <c r="AR18" s="45">
        <v>2.33</v>
      </c>
      <c r="AT18" s="47">
        <v>0.2</v>
      </c>
    </row>
    <row r="19" spans="1:46" s="45" customFormat="1" ht="11.25" customHeight="1">
      <c r="A19" s="42"/>
      <c r="B19" s="42" t="s">
        <v>46</v>
      </c>
      <c r="C19" s="44" t="s">
        <v>63</v>
      </c>
      <c r="D19" s="44"/>
      <c r="E19" s="12" t="s">
        <v>182</v>
      </c>
      <c r="F19" s="42" t="s">
        <v>163</v>
      </c>
      <c r="G19" s="42"/>
      <c r="H19" s="42"/>
      <c r="I19" s="42"/>
      <c r="J19" s="42"/>
      <c r="K19" s="42"/>
      <c r="L19" s="42"/>
      <c r="M19" s="42">
        <v>17</v>
      </c>
      <c r="N19" s="42" t="s">
        <v>1252</v>
      </c>
      <c r="O19" s="42" t="s">
        <v>1253</v>
      </c>
      <c r="P19" s="42"/>
      <c r="Q19" s="42">
        <v>2024</v>
      </c>
      <c r="R19" s="42"/>
      <c r="S19" s="42"/>
      <c r="T19" s="42"/>
      <c r="U19" s="42"/>
      <c r="V19" s="42"/>
      <c r="W19" s="42"/>
      <c r="X19" s="42"/>
      <c r="Y19" s="42"/>
      <c r="Z19" s="42"/>
      <c r="AA19" s="42"/>
      <c r="AB19" s="42"/>
      <c r="AC19" s="42"/>
      <c r="AF19" s="45" t="s">
        <v>1254</v>
      </c>
      <c r="AG19" s="45" t="s">
        <v>1255</v>
      </c>
      <c r="AH19" s="45" t="s">
        <v>1256</v>
      </c>
      <c r="AI19" s="45" t="s">
        <v>1257</v>
      </c>
      <c r="AJ19" s="43" t="s">
        <v>1239</v>
      </c>
      <c r="AK19" s="43" t="s">
        <v>1257</v>
      </c>
      <c r="AL19" s="45" t="s">
        <v>1240</v>
      </c>
      <c r="AM19" s="45" t="s">
        <v>1241</v>
      </c>
      <c r="AN19" s="45" t="s">
        <v>1258</v>
      </c>
      <c r="AO19" s="45">
        <v>617903</v>
      </c>
      <c r="AQ19" s="45" t="s">
        <v>182</v>
      </c>
      <c r="AR19" s="45">
        <v>2</v>
      </c>
      <c r="AT19" s="47">
        <v>0.15</v>
      </c>
    </row>
    <row r="20" spans="1:46" s="45" customFormat="1" ht="11.25" customHeight="1">
      <c r="A20" s="42"/>
      <c r="B20" s="42" t="s">
        <v>54</v>
      </c>
      <c r="C20" s="42" t="s">
        <v>49</v>
      </c>
      <c r="D20" s="42"/>
      <c r="E20" s="11" t="s">
        <v>193</v>
      </c>
      <c r="F20" s="42" t="s">
        <v>163</v>
      </c>
      <c r="G20" s="42"/>
      <c r="H20" s="42"/>
      <c r="I20" s="42"/>
      <c r="J20" s="42"/>
      <c r="K20" s="42"/>
      <c r="L20" s="42"/>
      <c r="M20" s="42">
        <v>18</v>
      </c>
      <c r="N20" s="42" t="s">
        <v>1259</v>
      </c>
      <c r="O20" s="45" t="s">
        <v>1260</v>
      </c>
      <c r="P20" s="42"/>
      <c r="Q20" s="42">
        <v>2025</v>
      </c>
      <c r="R20" s="42"/>
      <c r="S20" s="42"/>
      <c r="T20" s="42"/>
      <c r="U20" s="42"/>
      <c r="V20" s="42"/>
      <c r="W20" s="42"/>
      <c r="X20" s="42"/>
      <c r="Y20" s="42"/>
      <c r="Z20" s="42"/>
      <c r="AA20" s="42"/>
      <c r="AB20" s="42"/>
      <c r="AC20" s="42"/>
      <c r="AF20" s="45" t="s">
        <v>1261</v>
      </c>
      <c r="AG20" s="45" t="s">
        <v>1262</v>
      </c>
      <c r="AH20" s="45" t="s">
        <v>1263</v>
      </c>
      <c r="AI20" s="45" t="s">
        <v>1264</v>
      </c>
      <c r="AJ20" s="43" t="s">
        <v>1239</v>
      </c>
      <c r="AK20" s="43" t="s">
        <v>1264</v>
      </c>
      <c r="AL20" s="45" t="s">
        <v>1240</v>
      </c>
      <c r="AM20" s="45" t="s">
        <v>1241</v>
      </c>
      <c r="AN20" s="45" t="s">
        <v>1265</v>
      </c>
      <c r="AO20" s="45">
        <v>556145</v>
      </c>
      <c r="AP20" s="46"/>
      <c r="AQ20" s="45" t="s">
        <v>193</v>
      </c>
      <c r="AR20" s="45">
        <v>1.67</v>
      </c>
      <c r="AT20" s="47">
        <v>0.1</v>
      </c>
    </row>
    <row r="21" spans="1:46" s="45" customFormat="1" ht="11.25" customHeight="1">
      <c r="A21" s="42"/>
      <c r="B21" s="42" t="s">
        <v>60</v>
      </c>
      <c r="C21" s="42" t="s">
        <v>63</v>
      </c>
      <c r="D21" s="42"/>
      <c r="E21" s="11" t="s">
        <v>203</v>
      </c>
      <c r="F21" s="42" t="s">
        <v>163</v>
      </c>
      <c r="G21" s="42"/>
      <c r="I21" s="42"/>
      <c r="J21" s="42"/>
      <c r="K21" s="42"/>
      <c r="L21" s="42"/>
      <c r="M21" s="42">
        <v>19</v>
      </c>
      <c r="N21" s="42" t="s">
        <v>1266</v>
      </c>
      <c r="O21" s="42" t="s">
        <v>1267</v>
      </c>
      <c r="Q21" s="42">
        <v>2026</v>
      </c>
      <c r="R21" s="42"/>
      <c r="S21" s="42"/>
      <c r="T21" s="42"/>
      <c r="U21" s="42"/>
      <c r="V21" s="42"/>
      <c r="W21" s="42"/>
      <c r="X21" s="42"/>
      <c r="Y21" s="42"/>
      <c r="Z21" s="42"/>
      <c r="AA21" s="42"/>
      <c r="AB21" s="42"/>
      <c r="AC21" s="42"/>
      <c r="AF21" s="45" t="s">
        <v>1268</v>
      </c>
      <c r="AG21" s="45" t="s">
        <v>1269</v>
      </c>
      <c r="AH21" s="45" t="s">
        <v>1270</v>
      </c>
      <c r="AI21" s="45" t="s">
        <v>1271</v>
      </c>
      <c r="AJ21" s="43" t="s">
        <v>1239</v>
      </c>
      <c r="AK21" s="43" t="s">
        <v>1271</v>
      </c>
      <c r="AL21" s="45" t="s">
        <v>1240</v>
      </c>
      <c r="AM21" s="45" t="s">
        <v>1241</v>
      </c>
      <c r="AN21" s="45" t="s">
        <v>1272</v>
      </c>
      <c r="AO21" s="45">
        <v>201</v>
      </c>
      <c r="AP21" s="46"/>
      <c r="AT21" s="47">
        <v>0.05</v>
      </c>
    </row>
    <row r="22" spans="1:46" s="45" customFormat="1" ht="11.25" customHeight="1">
      <c r="A22" s="42"/>
      <c r="B22" s="42" t="s">
        <v>48</v>
      </c>
      <c r="C22" s="44" t="s">
        <v>94</v>
      </c>
      <c r="D22" s="44"/>
      <c r="E22" s="12" t="s">
        <v>213</v>
      </c>
      <c r="F22" s="42" t="s">
        <v>163</v>
      </c>
      <c r="G22" s="42"/>
      <c r="H22" s="42"/>
      <c r="I22" s="42"/>
      <c r="J22" s="42"/>
      <c r="K22" s="42"/>
      <c r="L22" s="42"/>
      <c r="M22" s="42">
        <v>20</v>
      </c>
      <c r="N22" s="42" t="s">
        <v>1273</v>
      </c>
      <c r="O22" s="45" t="s">
        <v>1274</v>
      </c>
      <c r="P22" s="42"/>
      <c r="Q22" s="42">
        <v>2027</v>
      </c>
      <c r="R22" s="42"/>
      <c r="S22" s="42"/>
      <c r="T22" s="42"/>
      <c r="U22" s="42"/>
      <c r="V22" s="42"/>
      <c r="W22" s="42"/>
      <c r="X22" s="42"/>
      <c r="Y22" s="42"/>
      <c r="Z22" s="42"/>
      <c r="AA22" s="42"/>
      <c r="AB22" s="42"/>
      <c r="AC22" s="42"/>
      <c r="AF22" s="45" t="s">
        <v>1275</v>
      </c>
      <c r="AG22" s="45" t="s">
        <v>1276</v>
      </c>
      <c r="AH22" s="45" t="s">
        <v>1277</v>
      </c>
      <c r="AI22" s="45" t="s">
        <v>1278</v>
      </c>
      <c r="AJ22" s="43" t="s">
        <v>1239</v>
      </c>
      <c r="AK22" s="43" t="s">
        <v>1278</v>
      </c>
      <c r="AL22" s="45" t="s">
        <v>1240</v>
      </c>
      <c r="AM22" s="45" t="s">
        <v>1241</v>
      </c>
      <c r="AN22" s="45" t="s">
        <v>1272</v>
      </c>
      <c r="AO22" s="45">
        <v>441898</v>
      </c>
      <c r="AP22" s="46"/>
      <c r="AT22" s="47">
        <v>0</v>
      </c>
    </row>
    <row r="23" spans="1:46" s="45" customFormat="1" ht="11.25" customHeight="1">
      <c r="A23" s="42"/>
      <c r="B23" s="42" t="s">
        <v>55</v>
      </c>
      <c r="C23" s="44" t="s">
        <v>72</v>
      </c>
      <c r="D23" s="44"/>
      <c r="E23" s="12"/>
      <c r="F23" s="42"/>
      <c r="G23" s="42"/>
      <c r="H23" s="42"/>
      <c r="I23" s="42"/>
      <c r="J23" s="42"/>
      <c r="K23" s="42"/>
      <c r="L23" s="42"/>
      <c r="M23" s="42">
        <v>21</v>
      </c>
      <c r="N23" s="42" t="s">
        <v>1279</v>
      </c>
      <c r="O23" s="42" t="s">
        <v>1280</v>
      </c>
      <c r="P23" s="42"/>
      <c r="Q23" s="42">
        <v>2028</v>
      </c>
      <c r="R23" s="42"/>
      <c r="S23" s="42"/>
      <c r="T23" s="42"/>
      <c r="U23" s="42"/>
      <c r="V23" s="42"/>
      <c r="W23" s="42"/>
      <c r="X23" s="42"/>
      <c r="Y23" s="42"/>
      <c r="Z23" s="42"/>
      <c r="AA23" s="42"/>
      <c r="AB23" s="42"/>
      <c r="AC23" s="42"/>
      <c r="AF23" s="45" t="s">
        <v>1281</v>
      </c>
      <c r="AG23" s="48" t="s">
        <v>1282</v>
      </c>
      <c r="AH23" s="45" t="s">
        <v>1283</v>
      </c>
      <c r="AI23" s="45" t="s">
        <v>1284</v>
      </c>
      <c r="AJ23" s="43" t="s">
        <v>1239</v>
      </c>
      <c r="AK23" s="43" t="s">
        <v>1284</v>
      </c>
      <c r="AL23" s="45" t="s">
        <v>1240</v>
      </c>
      <c r="AM23" s="45" t="s">
        <v>1241</v>
      </c>
      <c r="AN23" s="45" t="s">
        <v>1285</v>
      </c>
      <c r="AO23" s="45">
        <v>568018</v>
      </c>
      <c r="AP23" s="46"/>
    </row>
    <row r="24" spans="1:46" s="45" customFormat="1" ht="11.25" customHeight="1">
      <c r="A24" s="42"/>
      <c r="B24" s="42" t="s">
        <v>1286</v>
      </c>
      <c r="C24" s="42" t="s">
        <v>94</v>
      </c>
      <c r="D24" s="42"/>
      <c r="E24" s="11"/>
      <c r="F24" s="42"/>
      <c r="G24" s="42"/>
      <c r="H24" s="42"/>
      <c r="I24" s="42"/>
      <c r="J24" s="42"/>
      <c r="K24" s="42"/>
      <c r="L24" s="42"/>
      <c r="M24" s="42">
        <v>22</v>
      </c>
      <c r="N24" s="42" t="s">
        <v>1287</v>
      </c>
      <c r="O24" s="42" t="s">
        <v>1288</v>
      </c>
      <c r="Q24" s="42">
        <v>2029</v>
      </c>
      <c r="R24" s="42"/>
      <c r="S24" s="42"/>
      <c r="T24" s="42"/>
      <c r="U24" s="42"/>
      <c r="V24" s="42"/>
      <c r="W24" s="42"/>
      <c r="X24" s="42"/>
      <c r="Y24" s="42"/>
      <c r="Z24" s="42"/>
      <c r="AA24" s="42"/>
      <c r="AB24" s="42"/>
      <c r="AC24" s="42"/>
      <c r="AF24" s="45" t="s">
        <v>1289</v>
      </c>
      <c r="AG24" s="45" t="s">
        <v>1290</v>
      </c>
      <c r="AH24" s="45" t="s">
        <v>1291</v>
      </c>
      <c r="AI24" s="45" t="s">
        <v>1292</v>
      </c>
      <c r="AJ24" s="43" t="s">
        <v>1293</v>
      </c>
      <c r="AK24" s="43" t="s">
        <v>1292</v>
      </c>
      <c r="AL24" s="45" t="s">
        <v>1294</v>
      </c>
      <c r="AM24" s="45" t="s">
        <v>1295</v>
      </c>
      <c r="AN24" s="45" t="s">
        <v>1296</v>
      </c>
      <c r="AO24" s="45">
        <v>570017</v>
      </c>
      <c r="AP24" s="46"/>
    </row>
    <row r="25" spans="1:46" s="45" customFormat="1" ht="11.25" customHeight="1">
      <c r="A25" s="42"/>
      <c r="B25" s="42" t="s">
        <v>36</v>
      </c>
      <c r="C25" s="42" t="s">
        <v>94</v>
      </c>
      <c r="D25" s="42"/>
      <c r="E25" s="11"/>
      <c r="F25" s="42"/>
      <c r="G25" s="42"/>
      <c r="H25" s="42"/>
      <c r="I25" s="42"/>
      <c r="J25" s="42"/>
      <c r="K25" s="42"/>
      <c r="L25" s="42"/>
      <c r="M25" s="42">
        <v>23</v>
      </c>
      <c r="N25" s="42" t="s">
        <v>1297</v>
      </c>
      <c r="O25" s="42" t="s">
        <v>1298</v>
      </c>
      <c r="P25" s="42"/>
      <c r="Q25" s="42">
        <v>2030</v>
      </c>
      <c r="R25" s="42"/>
      <c r="S25" s="42"/>
      <c r="T25" s="42"/>
      <c r="U25" s="42"/>
      <c r="V25" s="42"/>
      <c r="W25" s="42"/>
      <c r="X25" s="42"/>
      <c r="Y25" s="42"/>
      <c r="Z25" s="42"/>
      <c r="AA25" s="42"/>
      <c r="AB25" s="42"/>
      <c r="AC25" s="42"/>
      <c r="AF25" s="45" t="s">
        <v>1299</v>
      </c>
      <c r="AG25" s="45" t="s">
        <v>1300</v>
      </c>
      <c r="AH25" s="45" t="s">
        <v>1301</v>
      </c>
      <c r="AI25" s="45" t="s">
        <v>1302</v>
      </c>
      <c r="AJ25" s="43" t="s">
        <v>1293</v>
      </c>
      <c r="AK25" s="43" t="s">
        <v>1302</v>
      </c>
      <c r="AL25" s="45" t="s">
        <v>1294</v>
      </c>
      <c r="AM25" s="45" t="s">
        <v>1295</v>
      </c>
      <c r="AN25" s="45" t="s">
        <v>1303</v>
      </c>
      <c r="AO25" s="45">
        <v>572352</v>
      </c>
      <c r="AP25" s="46"/>
    </row>
    <row r="26" spans="1:46" s="45" customFormat="1" ht="11.25" customHeight="1">
      <c r="A26" s="42"/>
      <c r="B26" s="42" t="s">
        <v>1304</v>
      </c>
      <c r="C26" s="42" t="s">
        <v>94</v>
      </c>
      <c r="D26" s="42"/>
      <c r="E26" s="11"/>
      <c r="F26" s="42"/>
      <c r="G26" s="42"/>
      <c r="H26" s="42"/>
      <c r="I26" s="42"/>
      <c r="J26" s="42"/>
      <c r="K26" s="42"/>
      <c r="L26" s="42"/>
      <c r="M26" s="42">
        <v>24</v>
      </c>
      <c r="N26" s="42" t="s">
        <v>1305</v>
      </c>
      <c r="O26" s="45" t="s">
        <v>1306</v>
      </c>
      <c r="P26" s="42"/>
      <c r="Q26" s="42">
        <v>2031</v>
      </c>
      <c r="R26" s="42"/>
      <c r="S26" s="42"/>
      <c r="T26" s="42"/>
      <c r="U26" s="42"/>
      <c r="V26" s="42"/>
      <c r="W26" s="42"/>
      <c r="X26" s="42"/>
      <c r="Y26" s="42"/>
      <c r="Z26" s="42"/>
      <c r="AA26" s="42"/>
      <c r="AB26" s="42"/>
      <c r="AC26" s="42"/>
      <c r="AF26" s="45" t="s">
        <v>1307</v>
      </c>
      <c r="AG26" s="45" t="s">
        <v>1308</v>
      </c>
      <c r="AH26" s="45" t="s">
        <v>1309</v>
      </c>
      <c r="AI26" s="45" t="s">
        <v>1310</v>
      </c>
      <c r="AJ26" s="43" t="s">
        <v>1293</v>
      </c>
      <c r="AK26" s="43" t="s">
        <v>1310</v>
      </c>
      <c r="AL26" s="45" t="s">
        <v>1294</v>
      </c>
      <c r="AM26" s="45" t="s">
        <v>1295</v>
      </c>
      <c r="AN26" s="45" t="s">
        <v>1311</v>
      </c>
      <c r="AO26" s="45">
        <v>605360</v>
      </c>
      <c r="AP26" s="46"/>
    </row>
    <row r="27" spans="1:46" s="45" customFormat="1" ht="11.25" customHeight="1">
      <c r="A27" s="42"/>
      <c r="B27" s="42" t="s">
        <v>61</v>
      </c>
      <c r="C27" s="45" t="s">
        <v>63</v>
      </c>
      <c r="E27" s="11"/>
      <c r="F27" s="42"/>
      <c r="G27" s="42"/>
      <c r="H27" s="42"/>
      <c r="I27" s="42"/>
      <c r="J27" s="42"/>
      <c r="K27" s="42"/>
      <c r="L27" s="42"/>
      <c r="M27" s="42">
        <v>25</v>
      </c>
      <c r="N27" s="42" t="s">
        <v>1312</v>
      </c>
      <c r="O27" s="42" t="s">
        <v>1313</v>
      </c>
      <c r="P27" s="42"/>
      <c r="Q27" s="42">
        <v>2032</v>
      </c>
      <c r="R27" s="42"/>
      <c r="S27" s="42"/>
      <c r="T27" s="42"/>
      <c r="U27" s="42"/>
      <c r="V27" s="42"/>
      <c r="W27" s="42"/>
      <c r="X27" s="42"/>
      <c r="Y27" s="42"/>
      <c r="Z27" s="42"/>
      <c r="AA27" s="42"/>
      <c r="AB27" s="42"/>
      <c r="AC27" s="42"/>
      <c r="AF27" s="45" t="s">
        <v>1314</v>
      </c>
      <c r="AG27" s="45" t="s">
        <v>1315</v>
      </c>
      <c r="AH27" s="45" t="s">
        <v>1316</v>
      </c>
      <c r="AI27" s="45" t="s">
        <v>1317</v>
      </c>
      <c r="AJ27" s="43" t="s">
        <v>1293</v>
      </c>
      <c r="AK27" s="43" t="s">
        <v>1317</v>
      </c>
      <c r="AL27" s="45" t="s">
        <v>1294</v>
      </c>
      <c r="AM27" s="45" t="s">
        <v>1295</v>
      </c>
      <c r="AN27" s="45" t="s">
        <v>1318</v>
      </c>
      <c r="AO27" s="45">
        <v>603862</v>
      </c>
      <c r="AP27" s="46"/>
    </row>
    <row r="28" spans="1:46" s="45" customFormat="1" ht="11.25" customHeight="1">
      <c r="A28" s="42"/>
      <c r="B28" s="42" t="s">
        <v>65</v>
      </c>
      <c r="C28" s="42" t="s">
        <v>72</v>
      </c>
      <c r="D28" s="42"/>
      <c r="E28" s="11"/>
      <c r="F28" s="42"/>
      <c r="G28" s="42"/>
      <c r="H28" s="42"/>
      <c r="I28" s="42"/>
      <c r="J28" s="42"/>
      <c r="K28" s="42"/>
      <c r="L28" s="42"/>
      <c r="M28" s="42">
        <v>26</v>
      </c>
      <c r="N28" s="42" t="s">
        <v>1319</v>
      </c>
      <c r="O28" s="42" t="s">
        <v>1320</v>
      </c>
      <c r="P28" s="42"/>
      <c r="Q28" s="42">
        <v>2033</v>
      </c>
      <c r="R28" s="42"/>
      <c r="S28" s="42"/>
      <c r="T28" s="42"/>
      <c r="U28" s="42"/>
      <c r="V28" s="42"/>
      <c r="W28" s="42"/>
      <c r="X28" s="42"/>
      <c r="Y28" s="42"/>
      <c r="Z28" s="42"/>
      <c r="AA28" s="42"/>
      <c r="AB28" s="42"/>
      <c r="AC28" s="42"/>
      <c r="AF28" s="45" t="s">
        <v>1321</v>
      </c>
      <c r="AG28" s="45" t="s">
        <v>1322</v>
      </c>
      <c r="AH28" s="45" t="s">
        <v>1323</v>
      </c>
      <c r="AI28" s="45" t="s">
        <v>1324</v>
      </c>
      <c r="AJ28" s="43" t="s">
        <v>1293</v>
      </c>
      <c r="AK28" s="43" t="s">
        <v>1324</v>
      </c>
      <c r="AL28" s="45" t="s">
        <v>1294</v>
      </c>
      <c r="AM28" s="45" t="s">
        <v>1295</v>
      </c>
      <c r="AN28" s="45" t="s">
        <v>1325</v>
      </c>
      <c r="AO28" s="45">
        <v>615114</v>
      </c>
      <c r="AP28" s="46"/>
    </row>
    <row r="29" spans="1:46" s="45" customFormat="1" ht="11.25" customHeight="1">
      <c r="A29" s="42"/>
      <c r="B29" s="42" t="s">
        <v>34</v>
      </c>
      <c r="C29" s="42" t="s">
        <v>94</v>
      </c>
      <c r="D29" s="42"/>
      <c r="E29" s="11"/>
      <c r="F29" s="42"/>
      <c r="G29" s="42"/>
      <c r="H29" s="42"/>
      <c r="I29" s="42"/>
      <c r="J29" s="42"/>
      <c r="K29" s="42"/>
      <c r="L29" s="42"/>
      <c r="M29" s="42">
        <v>27</v>
      </c>
      <c r="N29" s="42" t="s">
        <v>1326</v>
      </c>
      <c r="O29" s="42" t="s">
        <v>1327</v>
      </c>
      <c r="P29" s="42"/>
      <c r="Q29" s="42">
        <v>2034</v>
      </c>
      <c r="R29" s="42"/>
      <c r="S29" s="42"/>
      <c r="T29" s="42"/>
      <c r="U29" s="42"/>
      <c r="V29" s="42"/>
      <c r="W29" s="42"/>
      <c r="X29" s="42"/>
      <c r="Y29" s="42"/>
      <c r="Z29" s="42"/>
      <c r="AA29" s="42"/>
      <c r="AB29" s="42"/>
      <c r="AC29" s="42"/>
      <c r="AF29" s="45" t="s">
        <v>1328</v>
      </c>
      <c r="AG29" s="45" t="s">
        <v>1329</v>
      </c>
      <c r="AH29" s="45" t="s">
        <v>1330</v>
      </c>
      <c r="AI29" s="45" t="s">
        <v>1331</v>
      </c>
      <c r="AJ29" s="43" t="s">
        <v>1293</v>
      </c>
      <c r="AK29" s="43" t="s">
        <v>1331</v>
      </c>
      <c r="AL29" s="45" t="s">
        <v>1294</v>
      </c>
      <c r="AM29" s="45" t="s">
        <v>1295</v>
      </c>
      <c r="AN29" s="45" t="s">
        <v>1332</v>
      </c>
      <c r="AO29" s="45">
        <v>570035</v>
      </c>
      <c r="AP29" s="46"/>
    </row>
    <row r="30" spans="1:46" s="45" customFormat="1" ht="11.25" customHeight="1">
      <c r="A30" s="42"/>
      <c r="B30" s="42" t="s">
        <v>44</v>
      </c>
      <c r="C30" s="42" t="s">
        <v>136</v>
      </c>
      <c r="D30" s="42"/>
      <c r="E30" s="11"/>
      <c r="F30" s="42"/>
      <c r="G30" s="42"/>
      <c r="H30" s="42"/>
      <c r="I30" s="42"/>
      <c r="J30" s="42"/>
      <c r="K30" s="42"/>
      <c r="L30" s="42"/>
      <c r="M30" s="42">
        <v>28</v>
      </c>
      <c r="N30" s="42" t="s">
        <v>1333</v>
      </c>
      <c r="O30" s="42" t="s">
        <v>1334</v>
      </c>
      <c r="P30" s="42"/>
      <c r="Q30" s="42">
        <v>2035</v>
      </c>
      <c r="R30" s="42"/>
      <c r="S30" s="42"/>
      <c r="T30" s="42"/>
      <c r="U30" s="42"/>
      <c r="V30" s="42"/>
      <c r="W30" s="42"/>
      <c r="X30" s="42"/>
      <c r="Y30" s="42"/>
      <c r="Z30" s="42"/>
      <c r="AA30" s="42"/>
      <c r="AB30" s="42"/>
      <c r="AC30" s="42"/>
      <c r="AF30" s="45" t="s">
        <v>1335</v>
      </c>
      <c r="AG30" s="45" t="s">
        <v>1336</v>
      </c>
      <c r="AH30" s="45" t="s">
        <v>1337</v>
      </c>
      <c r="AI30" s="45" t="s">
        <v>1338</v>
      </c>
      <c r="AJ30" s="43" t="s">
        <v>1293</v>
      </c>
      <c r="AK30" s="43" t="s">
        <v>1338</v>
      </c>
      <c r="AL30" s="45" t="s">
        <v>1294</v>
      </c>
      <c r="AM30" s="45" t="s">
        <v>1295</v>
      </c>
      <c r="AN30" s="45" t="s">
        <v>1339</v>
      </c>
      <c r="AO30" s="45">
        <v>570034</v>
      </c>
      <c r="AP30" s="46"/>
    </row>
    <row r="31" spans="1:46" s="45" customFormat="1" ht="11.25" customHeight="1">
      <c r="A31" s="42"/>
      <c r="B31" s="42" t="s">
        <v>52</v>
      </c>
      <c r="C31" s="42" t="s">
        <v>94</v>
      </c>
      <c r="D31" s="42"/>
      <c r="E31" s="11"/>
      <c r="F31" s="42"/>
      <c r="G31" s="42"/>
      <c r="H31" s="42"/>
      <c r="I31" s="42"/>
      <c r="J31" s="42"/>
      <c r="K31" s="42"/>
      <c r="L31" s="42"/>
      <c r="M31" s="42">
        <v>29</v>
      </c>
      <c r="N31" s="42" t="s">
        <v>1340</v>
      </c>
      <c r="O31" s="42"/>
      <c r="P31" s="42"/>
      <c r="Q31" s="42">
        <v>2036</v>
      </c>
      <c r="R31" s="42"/>
      <c r="S31" s="42"/>
      <c r="T31" s="42"/>
      <c r="U31" s="42"/>
      <c r="V31" s="42"/>
      <c r="W31" s="42"/>
      <c r="X31" s="42"/>
      <c r="Y31" s="42"/>
      <c r="Z31" s="42"/>
      <c r="AA31" s="42"/>
      <c r="AB31" s="42"/>
      <c r="AC31" s="42"/>
      <c r="AF31" s="45" t="s">
        <v>1341</v>
      </c>
      <c r="AG31" s="48" t="s">
        <v>1342</v>
      </c>
      <c r="AH31" s="45" t="s">
        <v>1343</v>
      </c>
      <c r="AI31" s="45" t="s">
        <v>1344</v>
      </c>
      <c r="AJ31" s="43" t="s">
        <v>1003</v>
      </c>
      <c r="AK31" s="43" t="s">
        <v>1345</v>
      </c>
      <c r="AL31" s="45" t="s">
        <v>1346</v>
      </c>
      <c r="AM31" s="45" t="s">
        <v>1347</v>
      </c>
      <c r="AN31" s="45" t="s">
        <v>1348</v>
      </c>
      <c r="AO31" s="45">
        <v>572912</v>
      </c>
      <c r="AP31" s="46"/>
    </row>
    <row r="32" spans="1:46" s="45" customFormat="1" ht="11.25" customHeight="1">
      <c r="A32" s="42"/>
      <c r="B32" s="42" t="s">
        <v>58</v>
      </c>
      <c r="C32" s="42" t="s">
        <v>63</v>
      </c>
      <c r="D32" s="11"/>
      <c r="E32" s="11"/>
      <c r="F32" s="42"/>
      <c r="G32" s="42"/>
      <c r="H32" s="42"/>
      <c r="I32" s="42"/>
      <c r="J32" s="42"/>
      <c r="K32" s="42"/>
      <c r="L32" s="42"/>
      <c r="M32" s="42">
        <v>30</v>
      </c>
      <c r="N32" s="42" t="s">
        <v>1349</v>
      </c>
      <c r="O32" s="42"/>
      <c r="P32" s="42"/>
      <c r="Q32" s="42">
        <v>2037</v>
      </c>
      <c r="R32" s="42"/>
      <c r="S32" s="42"/>
      <c r="T32" s="42"/>
      <c r="U32" s="42"/>
      <c r="V32" s="42"/>
      <c r="W32" s="42"/>
      <c r="X32" s="42"/>
      <c r="Y32" s="42"/>
      <c r="Z32" s="42"/>
      <c r="AA32" s="42"/>
      <c r="AB32" s="42"/>
      <c r="AC32" s="42"/>
      <c r="AF32" s="45" t="s">
        <v>1350</v>
      </c>
      <c r="AG32" s="45" t="s">
        <v>1351</v>
      </c>
      <c r="AH32" s="45" t="s">
        <v>1352</v>
      </c>
      <c r="AI32" s="45" t="s">
        <v>1353</v>
      </c>
      <c r="AJ32" s="43" t="s">
        <v>1003</v>
      </c>
      <c r="AK32" s="43" t="s">
        <v>1354</v>
      </c>
      <c r="AL32" s="45" t="s">
        <v>1355</v>
      </c>
      <c r="AM32" s="45" t="s">
        <v>1356</v>
      </c>
      <c r="AN32" s="45" t="s">
        <v>1357</v>
      </c>
      <c r="AO32" s="45">
        <v>570036</v>
      </c>
      <c r="AP32" s="46"/>
    </row>
    <row r="33" spans="1:81" s="45" customFormat="1" ht="11.25" customHeight="1">
      <c r="A33" s="42"/>
      <c r="B33" s="42" t="s">
        <v>38</v>
      </c>
      <c r="C33" s="42" t="s">
        <v>94</v>
      </c>
      <c r="D33" s="11"/>
      <c r="E33" s="11"/>
      <c r="F33" s="42"/>
      <c r="G33" s="42"/>
      <c r="H33" s="42"/>
      <c r="I33" s="42"/>
      <c r="J33" s="42"/>
      <c r="K33" s="42"/>
      <c r="L33" s="42"/>
      <c r="M33" s="42">
        <v>31</v>
      </c>
      <c r="N33" s="42" t="s">
        <v>1358</v>
      </c>
      <c r="O33" s="42"/>
      <c r="P33" s="42"/>
      <c r="Q33" s="42">
        <v>2038</v>
      </c>
      <c r="R33" s="42"/>
      <c r="S33" s="42"/>
      <c r="T33" s="42"/>
      <c r="U33" s="42"/>
      <c r="V33" s="42"/>
      <c r="W33" s="42"/>
      <c r="X33" s="42"/>
      <c r="Y33" s="42"/>
      <c r="Z33" s="42"/>
      <c r="AA33" s="42"/>
      <c r="AB33" s="42"/>
      <c r="AC33" s="42"/>
      <c r="AF33" s="45" t="s">
        <v>1359</v>
      </c>
      <c r="AG33" s="45" t="s">
        <v>1360</v>
      </c>
      <c r="AH33" s="45" t="s">
        <v>1361</v>
      </c>
      <c r="AI33" s="45" t="s">
        <v>1362</v>
      </c>
      <c r="AJ33" s="43" t="s">
        <v>1003</v>
      </c>
      <c r="AK33" s="43" t="s">
        <v>1363</v>
      </c>
      <c r="AL33" s="45" t="s">
        <v>1364</v>
      </c>
      <c r="AM33" s="45" t="s">
        <v>1365</v>
      </c>
      <c r="AN33" s="45" t="s">
        <v>1366</v>
      </c>
      <c r="AO33" s="45">
        <v>569363</v>
      </c>
      <c r="AP33" s="46"/>
    </row>
    <row r="34" spans="1:81" s="45" customFormat="1" ht="11.25" customHeight="1">
      <c r="A34" s="42"/>
      <c r="B34" s="42" t="s">
        <v>47</v>
      </c>
      <c r="C34" s="42" t="s">
        <v>72</v>
      </c>
      <c r="D34" s="11"/>
      <c r="E34" s="11"/>
      <c r="F34" s="42"/>
      <c r="G34" s="42"/>
      <c r="H34" s="42"/>
      <c r="I34" s="42"/>
      <c r="J34" s="42"/>
      <c r="K34" s="42"/>
      <c r="L34" s="42"/>
      <c r="M34" s="42"/>
      <c r="N34" s="42" t="s">
        <v>1367</v>
      </c>
      <c r="O34" s="42"/>
      <c r="P34" s="42"/>
      <c r="Q34" s="42">
        <v>2039</v>
      </c>
      <c r="R34" s="42"/>
      <c r="S34" s="42"/>
      <c r="T34" s="42"/>
      <c r="U34" s="42"/>
      <c r="V34" s="42"/>
      <c r="W34" s="42"/>
      <c r="X34" s="42"/>
      <c r="Y34" s="42"/>
      <c r="Z34" s="42"/>
      <c r="AA34" s="42"/>
      <c r="AB34" s="42"/>
      <c r="AC34" s="42"/>
      <c r="AF34" s="45" t="s">
        <v>1368</v>
      </c>
      <c r="AG34" s="45" t="s">
        <v>1369</v>
      </c>
      <c r="AH34" s="45" t="s">
        <v>1370</v>
      </c>
      <c r="AI34" s="45" t="s">
        <v>1371</v>
      </c>
      <c r="AJ34" s="43" t="s">
        <v>1372</v>
      </c>
      <c r="AK34" s="43" t="s">
        <v>1371</v>
      </c>
      <c r="AL34" s="45" t="s">
        <v>1373</v>
      </c>
      <c r="AM34" s="45" t="s">
        <v>1374</v>
      </c>
      <c r="AN34" s="45" t="s">
        <v>1375</v>
      </c>
      <c r="AO34" s="45">
        <v>607859</v>
      </c>
      <c r="AP34" s="46"/>
    </row>
    <row r="35" spans="1:81" s="45" customFormat="1" ht="11.25" customHeight="1">
      <c r="A35" s="42"/>
      <c r="B35" s="42" t="s">
        <v>1376</v>
      </c>
      <c r="C35" s="42" t="s">
        <v>72</v>
      </c>
      <c r="D35" s="11"/>
      <c r="E35" s="11"/>
      <c r="F35" s="42"/>
      <c r="G35" s="42"/>
      <c r="H35" s="42"/>
      <c r="I35" s="42"/>
      <c r="J35" s="42"/>
      <c r="K35" s="42"/>
      <c r="L35" s="42"/>
      <c r="M35" s="42"/>
      <c r="N35" s="42" t="s">
        <v>1377</v>
      </c>
      <c r="O35" s="42"/>
      <c r="P35" s="42"/>
      <c r="Q35" s="42">
        <v>2040</v>
      </c>
      <c r="R35" s="42"/>
      <c r="S35" s="42"/>
      <c r="T35" s="42"/>
      <c r="U35" s="42"/>
      <c r="V35" s="42"/>
      <c r="W35" s="42"/>
      <c r="X35" s="42"/>
      <c r="Y35" s="42"/>
      <c r="Z35" s="42"/>
      <c r="AA35" s="42"/>
      <c r="AB35" s="42"/>
      <c r="AC35" s="42"/>
      <c r="AF35" s="45" t="s">
        <v>1378</v>
      </c>
      <c r="AG35" s="45" t="s">
        <v>1379</v>
      </c>
      <c r="AH35" s="45" t="s">
        <v>1380</v>
      </c>
      <c r="AI35" s="45" t="s">
        <v>1381</v>
      </c>
      <c r="AJ35" s="43" t="s">
        <v>1003</v>
      </c>
      <c r="AK35" s="43" t="s">
        <v>1382</v>
      </c>
      <c r="AL35" s="45" t="s">
        <v>1381</v>
      </c>
      <c r="AM35" s="45" t="s">
        <v>1383</v>
      </c>
      <c r="AN35" s="45" t="s">
        <v>1384</v>
      </c>
      <c r="AO35" s="45">
        <v>614585</v>
      </c>
      <c r="AP35" s="46"/>
    </row>
    <row r="36" spans="1:81" s="45" customFormat="1" ht="11.25" customHeight="1">
      <c r="A36" s="42"/>
      <c r="B36" s="42" t="s">
        <v>67</v>
      </c>
      <c r="C36" s="42" t="s">
        <v>63</v>
      </c>
      <c r="D36" s="11"/>
      <c r="E36" s="42"/>
      <c r="F36" s="42"/>
      <c r="G36" s="42"/>
      <c r="H36" s="42"/>
      <c r="I36" s="42"/>
      <c r="J36" s="42"/>
      <c r="K36" s="42"/>
      <c r="L36" s="42"/>
      <c r="M36" s="42"/>
      <c r="N36" s="42" t="s">
        <v>1385</v>
      </c>
      <c r="O36" s="42"/>
      <c r="S36" s="42"/>
      <c r="T36" s="42"/>
      <c r="U36" s="42"/>
      <c r="V36" s="42"/>
      <c r="W36" s="42"/>
      <c r="X36" s="42"/>
      <c r="Y36" s="42"/>
      <c r="Z36" s="42"/>
      <c r="AA36" s="42"/>
      <c r="AB36" s="42"/>
      <c r="AC36" s="42"/>
      <c r="AF36" s="45" t="s">
        <v>1386</v>
      </c>
      <c r="AG36" s="45" t="s">
        <v>1387</v>
      </c>
      <c r="AH36" s="45" t="s">
        <v>1388</v>
      </c>
      <c r="AI36" s="45" t="s">
        <v>1389</v>
      </c>
      <c r="AJ36" s="43" t="s">
        <v>1208</v>
      </c>
      <c r="AK36" s="43" t="s">
        <v>1390</v>
      </c>
      <c r="AL36" s="45" t="s">
        <v>1105</v>
      </c>
      <c r="AM36" s="45" t="s">
        <v>1391</v>
      </c>
      <c r="AN36" s="45" t="s">
        <v>1392</v>
      </c>
      <c r="AO36" s="45">
        <v>556585</v>
      </c>
      <c r="AP36" s="46"/>
    </row>
    <row r="37" spans="1:81" s="45" customFormat="1" ht="11.25" customHeight="1">
      <c r="A37" s="42"/>
      <c r="B37" s="42" t="s">
        <v>70</v>
      </c>
      <c r="C37" s="42" t="s">
        <v>136</v>
      </c>
      <c r="D37" s="11"/>
      <c r="E37" s="42"/>
      <c r="F37" s="42"/>
      <c r="G37" s="42"/>
      <c r="H37" s="42"/>
      <c r="I37" s="42"/>
      <c r="J37" s="42"/>
      <c r="K37" s="42"/>
      <c r="N37" s="45" t="s">
        <v>1393</v>
      </c>
      <c r="S37" s="42"/>
      <c r="T37" s="42"/>
      <c r="U37" s="42"/>
      <c r="V37" s="42"/>
      <c r="W37" s="42"/>
      <c r="X37" s="42"/>
      <c r="Y37" s="42"/>
      <c r="Z37" s="42"/>
      <c r="AA37" s="42"/>
      <c r="AB37" s="42"/>
      <c r="AC37" s="42"/>
      <c r="AF37" s="45" t="s">
        <v>1394</v>
      </c>
      <c r="AG37" s="45" t="s">
        <v>1395</v>
      </c>
      <c r="AH37" s="45" t="s">
        <v>1396</v>
      </c>
      <c r="AI37" s="45" t="s">
        <v>1397</v>
      </c>
      <c r="AJ37" s="43" t="s">
        <v>1003</v>
      </c>
      <c r="AK37" s="43" t="s">
        <v>1398</v>
      </c>
      <c r="AL37" s="45" t="s">
        <v>76</v>
      </c>
      <c r="AM37" s="45" t="s">
        <v>1399</v>
      </c>
      <c r="AN37" s="45" t="s">
        <v>1400</v>
      </c>
      <c r="AO37" s="45">
        <v>584379</v>
      </c>
      <c r="AP37" s="46"/>
    </row>
    <row r="38" spans="1:81" s="45" customFormat="1" ht="11.25" customHeight="1">
      <c r="A38" s="42"/>
      <c r="B38" s="42" t="s">
        <v>74</v>
      </c>
      <c r="C38" s="42" t="s">
        <v>63</v>
      </c>
      <c r="D38" s="11"/>
      <c r="E38" s="42"/>
      <c r="F38" s="42"/>
      <c r="G38" s="42"/>
      <c r="H38" s="42"/>
      <c r="I38" s="42"/>
      <c r="J38" s="42"/>
      <c r="K38" s="42"/>
      <c r="N38" s="45" t="s">
        <v>1401</v>
      </c>
      <c r="S38" s="42"/>
      <c r="T38" s="42"/>
      <c r="U38" s="42"/>
      <c r="V38" s="42"/>
      <c r="W38" s="42"/>
      <c r="X38" s="42"/>
      <c r="Y38" s="42"/>
      <c r="Z38" s="42"/>
      <c r="AA38" s="42"/>
      <c r="AB38" s="42"/>
      <c r="AC38" s="42"/>
      <c r="AF38" s="45" t="s">
        <v>1402</v>
      </c>
      <c r="AG38" s="45" t="s">
        <v>1403</v>
      </c>
      <c r="AH38" s="45" t="s">
        <v>1404</v>
      </c>
      <c r="AI38" s="45" t="s">
        <v>1405</v>
      </c>
      <c r="AJ38" s="43" t="s">
        <v>1406</v>
      </c>
      <c r="AK38" s="43" t="s">
        <v>1405</v>
      </c>
      <c r="AL38" s="45" t="s">
        <v>1407</v>
      </c>
      <c r="AM38" s="45" t="s">
        <v>1408</v>
      </c>
      <c r="AN38" s="45" t="s">
        <v>1409</v>
      </c>
      <c r="AO38" s="45">
        <v>564276</v>
      </c>
      <c r="AP38" s="46"/>
    </row>
    <row r="39" spans="1:81" s="45" customFormat="1" ht="11.25" customHeight="1">
      <c r="A39" s="42"/>
      <c r="B39" s="42" t="s">
        <v>77</v>
      </c>
      <c r="C39" s="42" t="s">
        <v>72</v>
      </c>
      <c r="D39" s="11"/>
      <c r="E39" s="42"/>
      <c r="F39" s="42"/>
      <c r="G39" s="42"/>
      <c r="H39" s="42"/>
      <c r="I39" s="42"/>
      <c r="J39" s="42"/>
      <c r="K39" s="42"/>
      <c r="N39" s="45" t="s">
        <v>1410</v>
      </c>
      <c r="S39" s="42"/>
      <c r="T39" s="42"/>
      <c r="U39" s="42"/>
      <c r="V39" s="42"/>
      <c r="W39" s="42"/>
      <c r="X39" s="42"/>
      <c r="Y39" s="42"/>
      <c r="Z39" s="42"/>
      <c r="AA39" s="42"/>
      <c r="AB39" s="42"/>
      <c r="AC39" s="42"/>
      <c r="AF39" s="45" t="s">
        <v>1411</v>
      </c>
      <c r="AG39" s="45" t="s">
        <v>1412</v>
      </c>
      <c r="AH39" s="45" t="s">
        <v>1413</v>
      </c>
      <c r="AI39" s="45" t="s">
        <v>1414</v>
      </c>
      <c r="AJ39" s="43" t="s">
        <v>1406</v>
      </c>
      <c r="AK39" s="43" t="s">
        <v>1414</v>
      </c>
      <c r="AL39" s="45" t="s">
        <v>1407</v>
      </c>
      <c r="AM39" s="45" t="s">
        <v>1408</v>
      </c>
      <c r="AN39" s="45" t="s">
        <v>1415</v>
      </c>
      <c r="AO39" s="45">
        <v>564287</v>
      </c>
      <c r="AP39" s="46"/>
    </row>
    <row r="40" spans="1:81" s="32" customFormat="1" ht="11.25" customHeight="1">
      <c r="A40" s="50"/>
      <c r="B40" s="50" t="s">
        <v>92</v>
      </c>
      <c r="C40" s="42" t="s">
        <v>63</v>
      </c>
      <c r="D40" s="11"/>
      <c r="E40" s="42"/>
      <c r="F40" s="50"/>
      <c r="G40" s="50"/>
      <c r="H40" s="50"/>
      <c r="I40" s="50"/>
      <c r="J40" s="50"/>
      <c r="K40" s="50"/>
      <c r="N40" s="32" t="s">
        <v>1416</v>
      </c>
      <c r="O40" s="45"/>
      <c r="P40" s="45"/>
      <c r="S40" s="50"/>
      <c r="T40" s="50"/>
      <c r="U40" s="50"/>
      <c r="V40" s="50"/>
      <c r="W40" s="50"/>
      <c r="X40" s="50"/>
      <c r="Y40" s="50"/>
      <c r="Z40" s="50"/>
      <c r="AA40" s="50"/>
      <c r="AB40" s="50"/>
      <c r="AC40" s="50"/>
      <c r="AF40" s="32" t="s">
        <v>1417</v>
      </c>
      <c r="AG40" s="45" t="s">
        <v>1418</v>
      </c>
      <c r="AH40" s="45" t="s">
        <v>1419</v>
      </c>
      <c r="AI40" s="43" t="s">
        <v>1420</v>
      </c>
      <c r="AJ40" s="43" t="s">
        <v>1406</v>
      </c>
      <c r="AK40" s="43" t="s">
        <v>1420</v>
      </c>
      <c r="AL40" s="43" t="s">
        <v>1407</v>
      </c>
      <c r="AM40" s="45" t="s">
        <v>1408</v>
      </c>
      <c r="AN40" s="45" t="s">
        <v>1421</v>
      </c>
      <c r="AO40" s="45">
        <v>556339</v>
      </c>
      <c r="AP40" s="46"/>
      <c r="BA40" s="45"/>
      <c r="BB40" s="45"/>
      <c r="BQ40" s="45"/>
      <c r="BR40" s="45"/>
      <c r="BZ40" s="45"/>
      <c r="CA40" s="45"/>
      <c r="CB40" s="45"/>
      <c r="CC40" s="45"/>
    </row>
    <row r="41" spans="1:81" s="32" customFormat="1" ht="11.25" customHeight="1">
      <c r="A41" s="50"/>
      <c r="B41" s="50" t="s">
        <v>108</v>
      </c>
      <c r="C41" s="42" t="s">
        <v>136</v>
      </c>
      <c r="D41" s="11"/>
      <c r="E41" s="42"/>
      <c r="F41" s="50"/>
      <c r="G41" s="50"/>
      <c r="H41" s="50"/>
      <c r="I41" s="50"/>
      <c r="J41" s="50"/>
      <c r="K41" s="50"/>
      <c r="S41" s="50"/>
      <c r="T41" s="50"/>
      <c r="U41" s="50"/>
      <c r="V41" s="50"/>
      <c r="W41" s="50"/>
      <c r="X41" s="50"/>
      <c r="Y41" s="50"/>
      <c r="Z41" s="50"/>
      <c r="AA41" s="50"/>
      <c r="AB41" s="50"/>
      <c r="AC41" s="50"/>
      <c r="AF41" s="32" t="s">
        <v>1422</v>
      </c>
      <c r="AG41" s="45" t="s">
        <v>1423</v>
      </c>
      <c r="AH41" s="45" t="s">
        <v>1424</v>
      </c>
      <c r="AI41" s="43" t="s">
        <v>1425</v>
      </c>
      <c r="AJ41" s="43" t="s">
        <v>1406</v>
      </c>
      <c r="AK41" s="43" t="s">
        <v>1425</v>
      </c>
      <c r="AL41" s="43" t="s">
        <v>1407</v>
      </c>
      <c r="AM41" s="45" t="s">
        <v>1408</v>
      </c>
      <c r="AN41" s="43" t="s">
        <v>1426</v>
      </c>
      <c r="AO41" s="45">
        <v>575674</v>
      </c>
      <c r="AP41" s="46"/>
      <c r="BA41" s="45"/>
      <c r="BB41" s="45"/>
      <c r="BQ41" s="45"/>
      <c r="BR41" s="45"/>
      <c r="BZ41" s="45"/>
      <c r="CA41" s="45"/>
      <c r="CB41" s="45"/>
      <c r="CC41" s="45"/>
    </row>
    <row r="42" spans="1:81" s="32" customFormat="1" ht="11.25" customHeight="1">
      <c r="A42" s="50"/>
      <c r="B42" s="50" t="s">
        <v>35</v>
      </c>
      <c r="C42" s="42" t="s">
        <v>94</v>
      </c>
      <c r="D42" s="11"/>
      <c r="E42" s="42"/>
      <c r="F42" s="50"/>
      <c r="G42" s="50"/>
      <c r="H42" s="50"/>
      <c r="I42" s="50"/>
      <c r="J42" s="50"/>
      <c r="K42" s="50"/>
      <c r="L42" s="50"/>
      <c r="M42" s="50"/>
      <c r="N42" s="50"/>
      <c r="O42" s="42"/>
      <c r="P42" s="45"/>
      <c r="S42" s="50"/>
      <c r="T42" s="50"/>
      <c r="U42" s="50"/>
      <c r="V42" s="50"/>
      <c r="W42" s="50"/>
      <c r="X42" s="50"/>
      <c r="Y42" s="50"/>
      <c r="Z42" s="50"/>
      <c r="AA42" s="50"/>
      <c r="AB42" s="50"/>
      <c r="AC42" s="50"/>
      <c r="AF42" s="32" t="s">
        <v>1427</v>
      </c>
      <c r="AG42" s="45" t="s">
        <v>1428</v>
      </c>
      <c r="AH42" s="45" t="s">
        <v>1429</v>
      </c>
      <c r="AI42" s="43" t="s">
        <v>1430</v>
      </c>
      <c r="AJ42" s="43" t="s">
        <v>1406</v>
      </c>
      <c r="AK42" s="43" t="s">
        <v>1430</v>
      </c>
      <c r="AL42" s="43" t="s">
        <v>1407</v>
      </c>
      <c r="AM42" s="45" t="s">
        <v>1408</v>
      </c>
      <c r="AN42" s="43" t="s">
        <v>1431</v>
      </c>
      <c r="AO42" s="45">
        <v>564639</v>
      </c>
      <c r="AP42" s="46"/>
      <c r="BA42" s="45"/>
      <c r="BB42" s="45"/>
      <c r="BQ42" s="45"/>
      <c r="BR42" s="45"/>
      <c r="BZ42" s="45"/>
      <c r="CA42" s="45"/>
      <c r="CB42" s="45"/>
      <c r="CC42" s="45"/>
    </row>
    <row r="43" spans="1:81">
      <c r="B43" s="51" t="s">
        <v>35</v>
      </c>
      <c r="C43" s="42" t="s">
        <v>94</v>
      </c>
      <c r="D43" s="11"/>
      <c r="E43" s="42"/>
      <c r="O43" s="42"/>
      <c r="P43" s="42"/>
      <c r="AF43" t="s">
        <v>1432</v>
      </c>
      <c r="AG43" s="45" t="s">
        <v>1433</v>
      </c>
      <c r="AH43" s="45" t="s">
        <v>1434</v>
      </c>
      <c r="AI43" s="43" t="s">
        <v>1435</v>
      </c>
      <c r="AJ43" s="43" t="s">
        <v>1406</v>
      </c>
      <c r="AK43" s="43" t="s">
        <v>1435</v>
      </c>
      <c r="AL43" s="43" t="s">
        <v>1407</v>
      </c>
      <c r="AM43" s="45" t="s">
        <v>1408</v>
      </c>
      <c r="AN43" s="43" t="s">
        <v>1436</v>
      </c>
      <c r="AO43" s="45">
        <v>564640</v>
      </c>
      <c r="AP43" s="46"/>
      <c r="BA43" s="45"/>
      <c r="BB43" s="45"/>
      <c r="BQ43" s="45"/>
      <c r="BR43" s="45"/>
      <c r="BZ43" s="45"/>
      <c r="CA43" s="45"/>
      <c r="CB43" s="45"/>
      <c r="CC43" s="45"/>
    </row>
    <row r="44" spans="1:81">
      <c r="B44" s="51" t="s">
        <v>53</v>
      </c>
      <c r="C44" s="50" t="s">
        <v>63</v>
      </c>
      <c r="D44" s="50"/>
      <c r="E44" s="42"/>
      <c r="O44" s="42"/>
      <c r="P44" s="42"/>
      <c r="AF44" t="s">
        <v>1437</v>
      </c>
      <c r="AG44" s="48" t="s">
        <v>1438</v>
      </c>
      <c r="AH44" s="45" t="s">
        <v>1439</v>
      </c>
      <c r="AI44" s="43" t="s">
        <v>1440</v>
      </c>
      <c r="AJ44" s="43" t="s">
        <v>1406</v>
      </c>
      <c r="AK44" s="43" t="s">
        <v>1440</v>
      </c>
      <c r="AL44" s="43" t="s">
        <v>1407</v>
      </c>
      <c r="AM44" s="45" t="s">
        <v>1408</v>
      </c>
      <c r="AN44" s="43" t="s">
        <v>1441</v>
      </c>
      <c r="AO44" s="45">
        <v>567959</v>
      </c>
      <c r="AP44" s="46"/>
      <c r="BA44" s="45"/>
      <c r="BB44" s="45"/>
      <c r="BQ44" s="45"/>
      <c r="BR44" s="45"/>
      <c r="BZ44" s="45"/>
      <c r="CA44" s="45"/>
      <c r="CB44" s="45"/>
      <c r="CC44" s="45"/>
    </row>
    <row r="45" spans="1:81">
      <c r="B45" s="51" t="s">
        <v>59</v>
      </c>
      <c r="C45" s="50" t="s">
        <v>49</v>
      </c>
      <c r="D45" s="50"/>
      <c r="E45" s="42"/>
      <c r="O45" s="42"/>
      <c r="P45" s="42"/>
      <c r="AF45" t="s">
        <v>1442</v>
      </c>
      <c r="AG45" s="45" t="s">
        <v>1443</v>
      </c>
      <c r="AH45" s="45" t="s">
        <v>1444</v>
      </c>
      <c r="AI45" s="43" t="s">
        <v>1445</v>
      </c>
      <c r="AJ45" s="43" t="s">
        <v>1446</v>
      </c>
      <c r="AK45" s="43" t="s">
        <v>1447</v>
      </c>
      <c r="AL45" s="43" t="s">
        <v>1448</v>
      </c>
      <c r="AM45" s="43" t="s">
        <v>1449</v>
      </c>
      <c r="AN45" s="43" t="s">
        <v>1450</v>
      </c>
      <c r="AO45" s="45">
        <v>209</v>
      </c>
      <c r="AP45" s="46"/>
      <c r="BA45" s="45"/>
      <c r="BB45" s="45"/>
      <c r="BQ45" s="45"/>
      <c r="BR45" s="45"/>
      <c r="BZ45" s="45"/>
      <c r="CA45" s="45"/>
      <c r="CB45" s="45"/>
      <c r="CC45" s="45"/>
    </row>
    <row r="46" spans="1:81">
      <c r="B46" s="51" t="s">
        <v>64</v>
      </c>
      <c r="C46" s="50" t="s">
        <v>49</v>
      </c>
      <c r="D46" s="50"/>
      <c r="E46" s="42"/>
      <c r="O46" s="42"/>
      <c r="P46" s="42"/>
      <c r="AF46" t="s">
        <v>1451</v>
      </c>
      <c r="AG46" s="45" t="s">
        <v>1452</v>
      </c>
      <c r="AH46" s="45" t="s">
        <v>1453</v>
      </c>
      <c r="AI46" s="43" t="s">
        <v>1454</v>
      </c>
      <c r="AJ46" s="43" t="s">
        <v>1208</v>
      </c>
      <c r="AK46" s="43" t="s">
        <v>1455</v>
      </c>
      <c r="AL46" s="43" t="s">
        <v>1456</v>
      </c>
      <c r="AM46" s="43" t="s">
        <v>1457</v>
      </c>
      <c r="AN46" s="43" t="s">
        <v>1458</v>
      </c>
      <c r="AO46" s="45">
        <v>563875</v>
      </c>
      <c r="AP46" s="46"/>
      <c r="BA46" s="45"/>
      <c r="BB46" s="45"/>
      <c r="BQ46" s="45"/>
      <c r="BR46" s="45"/>
      <c r="BZ46" s="45"/>
      <c r="CA46" s="45"/>
      <c r="CB46" s="45"/>
      <c r="CC46" s="45"/>
    </row>
    <row r="47" spans="1:81">
      <c r="B47" s="51" t="s">
        <v>66</v>
      </c>
      <c r="C47" s="50" t="s">
        <v>29</v>
      </c>
      <c r="D47" s="50"/>
      <c r="E47" s="42"/>
      <c r="O47" s="42"/>
      <c r="P47" s="42"/>
      <c r="AF47" t="s">
        <v>1459</v>
      </c>
      <c r="AG47" s="45" t="s">
        <v>1460</v>
      </c>
      <c r="AH47" s="45" t="s">
        <v>1461</v>
      </c>
      <c r="AI47" s="43" t="s">
        <v>1462</v>
      </c>
      <c r="AJ47" s="43" t="s">
        <v>1208</v>
      </c>
      <c r="AK47" s="43" t="s">
        <v>1463</v>
      </c>
      <c r="AL47" s="43" t="s">
        <v>1464</v>
      </c>
      <c r="AM47" s="43" t="s">
        <v>1465</v>
      </c>
      <c r="AN47" s="43" t="s">
        <v>1466</v>
      </c>
      <c r="AO47" s="45">
        <v>556458</v>
      </c>
      <c r="AP47" s="46"/>
      <c r="BA47" s="45"/>
      <c r="BB47" s="45"/>
      <c r="BQ47" s="45"/>
      <c r="BR47" s="45"/>
      <c r="BZ47" s="45"/>
      <c r="CA47" s="45"/>
      <c r="CB47" s="45"/>
      <c r="CC47" s="45"/>
    </row>
    <row r="48" spans="1:81">
      <c r="B48" s="51" t="s">
        <v>69</v>
      </c>
      <c r="C48" s="50" t="s">
        <v>72</v>
      </c>
      <c r="D48" s="50"/>
      <c r="E48" s="42"/>
      <c r="O48" s="42"/>
      <c r="P48" s="42"/>
      <c r="AF48" t="s">
        <v>1467</v>
      </c>
      <c r="AG48" s="45" t="s">
        <v>1468</v>
      </c>
      <c r="AH48" s="45" t="s">
        <v>1469</v>
      </c>
      <c r="AI48" s="43" t="s">
        <v>1470</v>
      </c>
      <c r="AJ48" s="43" t="s">
        <v>1446</v>
      </c>
      <c r="AK48" s="43" t="s">
        <v>1471</v>
      </c>
      <c r="AL48" s="43" t="s">
        <v>1472</v>
      </c>
      <c r="AM48" s="43" t="s">
        <v>1473</v>
      </c>
      <c r="AN48" s="43" t="s">
        <v>1474</v>
      </c>
      <c r="AO48" s="45">
        <v>556459</v>
      </c>
      <c r="AP48" s="46"/>
      <c r="BA48" s="45"/>
      <c r="BB48" s="45"/>
      <c r="BQ48" s="45"/>
      <c r="BR48" s="45"/>
      <c r="BZ48" s="45"/>
      <c r="CA48" s="45"/>
      <c r="CB48" s="45"/>
      <c r="CC48" s="45"/>
    </row>
    <row r="49" spans="2:81">
      <c r="B49" s="51" t="s">
        <v>73</v>
      </c>
      <c r="C49" s="50" t="s">
        <v>94</v>
      </c>
      <c r="D49" s="50"/>
      <c r="E49" s="42"/>
      <c r="O49" s="42"/>
      <c r="P49" s="42"/>
      <c r="AF49" t="s">
        <v>1475</v>
      </c>
      <c r="AG49" s="45" t="s">
        <v>1476</v>
      </c>
      <c r="AH49" s="45" t="s">
        <v>1477</v>
      </c>
      <c r="AI49" s="43" t="s">
        <v>1478</v>
      </c>
      <c r="AJ49" s="43" t="s">
        <v>1003</v>
      </c>
      <c r="AK49" s="43" t="s">
        <v>1479</v>
      </c>
      <c r="AL49" s="43" t="s">
        <v>1480</v>
      </c>
      <c r="AM49" s="43" t="s">
        <v>1481</v>
      </c>
      <c r="AN49" s="43" t="s">
        <v>1482</v>
      </c>
      <c r="AO49" s="45">
        <v>556457</v>
      </c>
      <c r="AP49" s="46"/>
      <c r="BA49" s="45"/>
      <c r="BB49" s="45"/>
      <c r="BQ49" s="45"/>
      <c r="BR49" s="45"/>
      <c r="BZ49" s="45"/>
      <c r="CA49" s="45"/>
      <c r="CB49" s="45"/>
      <c r="CC49" s="45"/>
    </row>
    <row r="50" spans="2:81">
      <c r="C50" s="50"/>
      <c r="D50" s="50"/>
      <c r="E50" s="42"/>
      <c r="O50" s="42"/>
      <c r="P50" s="42"/>
      <c r="AF50" t="s">
        <v>1483</v>
      </c>
      <c r="AG50" s="45" t="s">
        <v>1484</v>
      </c>
      <c r="AH50" s="45" t="s">
        <v>1485</v>
      </c>
      <c r="AI50" s="43" t="s">
        <v>1486</v>
      </c>
      <c r="AJ50" s="43" t="s">
        <v>1446</v>
      </c>
      <c r="AK50" s="43" t="s">
        <v>1487</v>
      </c>
      <c r="AL50" s="43" t="s">
        <v>1488</v>
      </c>
      <c r="AM50" s="43" t="s">
        <v>1489</v>
      </c>
      <c r="AN50" s="43" t="s">
        <v>1490</v>
      </c>
      <c r="AO50" s="45">
        <v>611746</v>
      </c>
      <c r="AP50" s="46"/>
      <c r="BA50" s="45"/>
      <c r="BB50" s="45"/>
      <c r="BQ50" s="45"/>
      <c r="BR50" s="45"/>
      <c r="BZ50" s="45"/>
      <c r="CA50" s="45"/>
      <c r="CB50" s="45"/>
      <c r="CC50" s="45"/>
    </row>
    <row r="51" spans="2:81">
      <c r="O51" s="42"/>
      <c r="P51" s="42"/>
      <c r="AF51" t="s">
        <v>1491</v>
      </c>
      <c r="AG51" s="45" t="s">
        <v>1492</v>
      </c>
      <c r="AH51" s="45" t="s">
        <v>1493</v>
      </c>
      <c r="AI51" s="43" t="s">
        <v>1494</v>
      </c>
      <c r="AJ51" s="43" t="s">
        <v>1003</v>
      </c>
      <c r="AK51" s="43" t="s">
        <v>1495</v>
      </c>
      <c r="AL51" s="43" t="s">
        <v>1496</v>
      </c>
      <c r="AM51" s="43" t="s">
        <v>1497</v>
      </c>
      <c r="AN51" s="43" t="s">
        <v>1498</v>
      </c>
      <c r="AO51" s="45">
        <v>566477</v>
      </c>
      <c r="AP51" s="46"/>
      <c r="BA51" s="45"/>
      <c r="BB51" s="45"/>
      <c r="BQ51" s="45"/>
      <c r="BR51" s="45"/>
      <c r="BZ51" s="45"/>
      <c r="CA51" s="45"/>
      <c r="CB51" s="45"/>
      <c r="CC51" s="45"/>
    </row>
    <row r="52" spans="2:81">
      <c r="O52" s="42"/>
      <c r="P52" s="42"/>
      <c r="AF52" t="s">
        <v>1499</v>
      </c>
      <c r="AG52" s="45" t="s">
        <v>1500</v>
      </c>
      <c r="AH52" s="45" t="s">
        <v>1501</v>
      </c>
      <c r="AI52" s="43" t="s">
        <v>1502</v>
      </c>
      <c r="AJ52" s="43" t="s">
        <v>1003</v>
      </c>
      <c r="AK52" s="43" t="s">
        <v>1503</v>
      </c>
      <c r="AL52" s="43" t="s">
        <v>1504</v>
      </c>
      <c r="AM52" s="43" t="s">
        <v>1505</v>
      </c>
      <c r="AN52" s="43" t="s">
        <v>1506</v>
      </c>
      <c r="AO52" s="45">
        <v>568307</v>
      </c>
      <c r="AP52" s="46"/>
      <c r="BA52" s="45"/>
      <c r="BB52" s="45"/>
      <c r="BQ52" s="45"/>
      <c r="BR52" s="45"/>
      <c r="BZ52" s="45"/>
      <c r="CA52" s="45"/>
      <c r="CB52" s="45"/>
      <c r="CC52" s="45"/>
    </row>
    <row r="53" spans="2:81">
      <c r="O53" s="42"/>
      <c r="P53" s="42"/>
      <c r="AF53" t="s">
        <v>1507</v>
      </c>
      <c r="AG53" s="45" t="s">
        <v>1508</v>
      </c>
      <c r="AH53" s="45" t="s">
        <v>1509</v>
      </c>
      <c r="AI53" s="43" t="s">
        <v>1510</v>
      </c>
      <c r="AJ53" s="43" t="s">
        <v>1511</v>
      </c>
      <c r="AK53" s="43" t="s">
        <v>1512</v>
      </c>
      <c r="AL53" s="43" t="s">
        <v>1513</v>
      </c>
      <c r="AM53" s="43" t="s">
        <v>1514</v>
      </c>
      <c r="AN53" s="43" t="s">
        <v>1515</v>
      </c>
      <c r="AO53" s="45">
        <v>568306</v>
      </c>
      <c r="AP53" s="46"/>
      <c r="BA53" s="45"/>
      <c r="BB53" s="45"/>
      <c r="BQ53" s="45"/>
      <c r="BR53" s="45"/>
      <c r="BZ53" s="45"/>
      <c r="CA53" s="45"/>
      <c r="CB53" s="45"/>
      <c r="CC53" s="45"/>
    </row>
    <row r="54" spans="2:81">
      <c r="O54" s="42"/>
      <c r="P54" s="42"/>
      <c r="AF54" t="s">
        <v>1516</v>
      </c>
      <c r="AG54" s="45" t="s">
        <v>1517</v>
      </c>
      <c r="AH54" s="45" t="s">
        <v>1518</v>
      </c>
      <c r="AI54" s="43" t="s">
        <v>1519</v>
      </c>
      <c r="AJ54" s="43" t="s">
        <v>1003</v>
      </c>
      <c r="AK54" s="43" t="s">
        <v>1520</v>
      </c>
      <c r="AL54" s="43" t="s">
        <v>1521</v>
      </c>
      <c r="AM54" s="43" t="s">
        <v>1522</v>
      </c>
      <c r="AN54" s="43" t="s">
        <v>1523</v>
      </c>
      <c r="AO54" s="45">
        <v>568308</v>
      </c>
      <c r="AP54" s="46"/>
      <c r="BA54" s="45"/>
      <c r="BB54" s="45"/>
      <c r="BQ54" s="45"/>
      <c r="BR54" s="45"/>
      <c r="BZ54" s="45"/>
      <c r="CA54" s="45"/>
      <c r="CB54" s="45"/>
      <c r="CC54" s="45"/>
    </row>
    <row r="55" spans="2:81">
      <c r="O55" s="42"/>
      <c r="P55" s="42"/>
      <c r="AF55" t="s">
        <v>1524</v>
      </c>
      <c r="AG55" s="45" t="s">
        <v>1525</v>
      </c>
      <c r="AH55" s="45" t="s">
        <v>1526</v>
      </c>
      <c r="AI55" s="43" t="s">
        <v>1527</v>
      </c>
      <c r="AJ55" s="43" t="s">
        <v>1003</v>
      </c>
      <c r="AK55" s="43" t="s">
        <v>1528</v>
      </c>
      <c r="AL55" s="43" t="s">
        <v>1529</v>
      </c>
      <c r="AM55" s="43" t="s">
        <v>1530</v>
      </c>
      <c r="AN55" s="43" t="s">
        <v>1531</v>
      </c>
      <c r="AO55" s="45">
        <v>555487</v>
      </c>
      <c r="AP55" s="46"/>
      <c r="BA55" s="45"/>
      <c r="BB55" s="45"/>
      <c r="BQ55" s="45"/>
      <c r="BR55" s="45"/>
      <c r="BZ55" s="45"/>
      <c r="CA55" s="45"/>
      <c r="CB55" s="45"/>
      <c r="CC55" s="45"/>
    </row>
    <row r="56" spans="2:81">
      <c r="O56" s="42"/>
      <c r="P56" s="42"/>
      <c r="AF56" t="s">
        <v>1532</v>
      </c>
      <c r="AG56" s="45" t="s">
        <v>1533</v>
      </c>
      <c r="AH56" s="45" t="s">
        <v>1534</v>
      </c>
      <c r="AI56" s="43" t="s">
        <v>1535</v>
      </c>
      <c r="AJ56" s="43" t="s">
        <v>1208</v>
      </c>
      <c r="AK56" s="43" t="s">
        <v>1536</v>
      </c>
      <c r="AL56" s="43" t="s">
        <v>1536</v>
      </c>
      <c r="AM56" s="43" t="s">
        <v>1537</v>
      </c>
      <c r="AN56" s="43" t="s">
        <v>1538</v>
      </c>
      <c r="AO56" s="45">
        <v>555422</v>
      </c>
      <c r="AP56" s="46"/>
      <c r="BA56" s="45"/>
      <c r="BB56" s="45"/>
      <c r="BQ56" s="45"/>
      <c r="BR56" s="45"/>
      <c r="BZ56" s="45"/>
      <c r="CA56" s="45"/>
      <c r="CB56" s="45"/>
      <c r="CC56" s="45"/>
    </row>
    <row r="57" spans="2:81">
      <c r="O57" s="42"/>
      <c r="P57" s="42"/>
      <c r="AF57" t="s">
        <v>1539</v>
      </c>
      <c r="AG57" s="45" t="s">
        <v>1540</v>
      </c>
      <c r="AH57" s="45" t="s">
        <v>1541</v>
      </c>
      <c r="AI57" s="43" t="s">
        <v>1542</v>
      </c>
      <c r="AJ57" s="43" t="s">
        <v>1543</v>
      </c>
      <c r="AK57" s="43" t="s">
        <v>1542</v>
      </c>
      <c r="AL57" s="43" t="s">
        <v>1153</v>
      </c>
      <c r="AM57" s="43" t="s">
        <v>1154</v>
      </c>
      <c r="AN57" s="43" t="s">
        <v>1544</v>
      </c>
      <c r="AO57" s="45">
        <v>555466</v>
      </c>
      <c r="AP57" s="46"/>
      <c r="BA57" s="45"/>
      <c r="BB57" s="45"/>
      <c r="BQ57" s="45"/>
      <c r="BR57" s="45"/>
      <c r="BZ57" s="45"/>
      <c r="CA57" s="45"/>
      <c r="CB57" s="45"/>
      <c r="CC57" s="45"/>
    </row>
    <row r="58" spans="2:81">
      <c r="O58" s="42"/>
      <c r="P58" s="42"/>
      <c r="AF58" t="s">
        <v>1545</v>
      </c>
      <c r="AG58" s="45" t="s">
        <v>1546</v>
      </c>
      <c r="AH58" s="45" t="s">
        <v>1547</v>
      </c>
      <c r="AI58" s="45" t="s">
        <v>1548</v>
      </c>
      <c r="AJ58" s="43" t="s">
        <v>1549</v>
      </c>
      <c r="AK58" s="43" t="s">
        <v>1550</v>
      </c>
      <c r="AL58" s="45" t="s">
        <v>1551</v>
      </c>
      <c r="AM58" s="45" t="s">
        <v>1552</v>
      </c>
      <c r="AN58" s="43" t="s">
        <v>1553</v>
      </c>
      <c r="AO58" s="45">
        <v>555436</v>
      </c>
      <c r="AP58" s="46"/>
      <c r="BA58" s="45"/>
      <c r="BB58" s="45"/>
      <c r="BQ58" s="45"/>
      <c r="BR58" s="45"/>
      <c r="BZ58" s="45"/>
      <c r="CA58" s="45"/>
      <c r="CB58" s="45"/>
      <c r="CC58" s="45"/>
    </row>
    <row r="59" spans="2:81">
      <c r="O59" s="42"/>
      <c r="P59" s="42"/>
      <c r="AF59" t="s">
        <v>1554</v>
      </c>
      <c r="AG59" s="45" t="s">
        <v>1555</v>
      </c>
      <c r="AH59" s="45" t="s">
        <v>1556</v>
      </c>
      <c r="AI59" s="43" t="s">
        <v>1557</v>
      </c>
      <c r="AJ59" s="43" t="s">
        <v>1549</v>
      </c>
      <c r="AK59" s="43" t="s">
        <v>1558</v>
      </c>
      <c r="AL59" s="43" t="s">
        <v>1559</v>
      </c>
      <c r="AM59" s="45" t="s">
        <v>1560</v>
      </c>
      <c r="AN59" s="43" t="s">
        <v>1561</v>
      </c>
      <c r="AO59" s="45">
        <v>564255</v>
      </c>
      <c r="AP59" s="46"/>
    </row>
    <row r="60" spans="2:81">
      <c r="O60" s="42"/>
      <c r="P60" s="42"/>
      <c r="AF60" t="s">
        <v>1562</v>
      </c>
      <c r="AG60" s="45" t="s">
        <v>1563</v>
      </c>
      <c r="AH60" s="45" t="s">
        <v>1564</v>
      </c>
      <c r="AI60" s="43" t="s">
        <v>1565</v>
      </c>
      <c r="AJ60" s="43" t="s">
        <v>1549</v>
      </c>
      <c r="AK60" s="43" t="s">
        <v>1566</v>
      </c>
      <c r="AL60" s="43" t="s">
        <v>1567</v>
      </c>
      <c r="AM60" s="43" t="s">
        <v>1568</v>
      </c>
      <c r="AN60" t="s">
        <v>1569</v>
      </c>
      <c r="AO60" s="45">
        <v>479630</v>
      </c>
      <c r="AP60" s="46"/>
    </row>
    <row r="61" spans="2:81">
      <c r="O61" s="42"/>
      <c r="P61" s="42"/>
      <c r="AF61" t="s">
        <v>1570</v>
      </c>
      <c r="AG61" s="45" t="s">
        <v>1571</v>
      </c>
      <c r="AH61" s="45" t="s">
        <v>1572</v>
      </c>
      <c r="AI61" s="43" t="s">
        <v>1573</v>
      </c>
      <c r="AJ61" s="43" t="s">
        <v>1549</v>
      </c>
      <c r="AK61" s="43" t="s">
        <v>1574</v>
      </c>
      <c r="AL61" s="43" t="s">
        <v>1575</v>
      </c>
      <c r="AM61" s="43" t="s">
        <v>1576</v>
      </c>
      <c r="AN61" t="s">
        <v>1577</v>
      </c>
      <c r="AO61" s="45">
        <v>564296</v>
      </c>
      <c r="AP61" s="46"/>
    </row>
    <row r="62" spans="2:81">
      <c r="O62" s="42"/>
      <c r="P62" s="42"/>
      <c r="AF62" t="s">
        <v>1578</v>
      </c>
      <c r="AG62" s="45" t="s">
        <v>1579</v>
      </c>
      <c r="AH62" s="45" t="s">
        <v>1580</v>
      </c>
      <c r="AI62" s="43" t="s">
        <v>1581</v>
      </c>
      <c r="AJ62" s="43" t="s">
        <v>1582</v>
      </c>
      <c r="AK62" s="43" t="s">
        <v>1583</v>
      </c>
      <c r="AL62" s="43" t="s">
        <v>1583</v>
      </c>
      <c r="AM62" s="43" t="s">
        <v>1584</v>
      </c>
      <c r="AN62" t="s">
        <v>1585</v>
      </c>
      <c r="AO62" s="45">
        <v>607639</v>
      </c>
      <c r="AP62" s="46"/>
    </row>
    <row r="63" spans="2:81">
      <c r="O63" s="42"/>
      <c r="P63" s="42"/>
      <c r="AF63" t="s">
        <v>1586</v>
      </c>
      <c r="AG63" s="45" t="s">
        <v>1587</v>
      </c>
      <c r="AH63" s="45" t="s">
        <v>1588</v>
      </c>
      <c r="AI63" s="43" t="s">
        <v>1589</v>
      </c>
      <c r="AJ63" s="43" t="s">
        <v>1582</v>
      </c>
      <c r="AK63" s="43" t="s">
        <v>1590</v>
      </c>
      <c r="AL63" s="43" t="s">
        <v>1590</v>
      </c>
      <c r="AM63" s="43" t="s">
        <v>1591</v>
      </c>
      <c r="AN63" t="s">
        <v>1592</v>
      </c>
      <c r="AO63" s="45">
        <v>615059</v>
      </c>
      <c r="AP63" s="46"/>
    </row>
    <row r="64" spans="2:81">
      <c r="O64" s="42"/>
      <c r="P64" s="42"/>
      <c r="AH64" s="45" t="s">
        <v>1593</v>
      </c>
      <c r="AI64" s="45" t="s">
        <v>1594</v>
      </c>
      <c r="AJ64" s="43" t="s">
        <v>1582</v>
      </c>
      <c r="AK64" s="43" t="s">
        <v>1595</v>
      </c>
      <c r="AL64" s="45" t="s">
        <v>1595</v>
      </c>
      <c r="AM64" s="45" t="s">
        <v>1596</v>
      </c>
      <c r="AN64" t="s">
        <v>1597</v>
      </c>
      <c r="AO64" s="45">
        <v>607242</v>
      </c>
      <c r="AP64" s="46"/>
    </row>
    <row r="65" spans="15:42">
      <c r="O65" s="42"/>
      <c r="P65" s="42"/>
      <c r="AH65" s="45" t="s">
        <v>1598</v>
      </c>
      <c r="AI65" s="43" t="s">
        <v>1599</v>
      </c>
      <c r="AJ65" s="43" t="s">
        <v>1600</v>
      </c>
      <c r="AK65" s="43" t="s">
        <v>1601</v>
      </c>
      <c r="AL65" s="43" t="s">
        <v>1601</v>
      </c>
      <c r="AM65" s="43" t="s">
        <v>1602</v>
      </c>
      <c r="AN65" t="s">
        <v>1603</v>
      </c>
      <c r="AO65" s="45">
        <v>572924</v>
      </c>
      <c r="AP65" s="46"/>
    </row>
    <row r="66" spans="15:42">
      <c r="O66" s="42"/>
      <c r="P66" s="42"/>
      <c r="AH66" s="45" t="s">
        <v>1604</v>
      </c>
      <c r="AI66" s="43" t="s">
        <v>1605</v>
      </c>
      <c r="AJ66" s="43" t="s">
        <v>1606</v>
      </c>
      <c r="AK66" s="43" t="s">
        <v>1607</v>
      </c>
      <c r="AL66" s="43" t="s">
        <v>1607</v>
      </c>
      <c r="AM66" s="43" t="s">
        <v>1608</v>
      </c>
      <c r="AN66" t="s">
        <v>1609</v>
      </c>
      <c r="AO66" s="45">
        <v>417801</v>
      </c>
      <c r="AP66" s="46"/>
    </row>
    <row r="67" spans="15:42">
      <c r="O67" s="42"/>
      <c r="P67" s="42"/>
      <c r="AH67" s="45" t="s">
        <v>1610</v>
      </c>
      <c r="AI67" s="43" t="s">
        <v>1611</v>
      </c>
      <c r="AJ67" s="43" t="s">
        <v>1612</v>
      </c>
      <c r="AK67" s="43" t="s">
        <v>1613</v>
      </c>
      <c r="AL67" s="43" t="s">
        <v>1614</v>
      </c>
      <c r="AM67" s="43" t="s">
        <v>1615</v>
      </c>
      <c r="AN67" t="s">
        <v>1616</v>
      </c>
      <c r="AO67" s="45">
        <v>616867</v>
      </c>
      <c r="AP67" s="46"/>
    </row>
    <row r="68" spans="15:42">
      <c r="O68" s="42"/>
      <c r="P68" s="42"/>
      <c r="AH68" s="45" t="s">
        <v>1617</v>
      </c>
      <c r="AI68" s="43" t="s">
        <v>1618</v>
      </c>
      <c r="AJ68" s="43" t="s">
        <v>1612</v>
      </c>
      <c r="AK68" s="43" t="s">
        <v>1619</v>
      </c>
      <c r="AL68" s="43" t="s">
        <v>1614</v>
      </c>
      <c r="AM68" s="43" t="s">
        <v>1615</v>
      </c>
      <c r="AN68" t="s">
        <v>1620</v>
      </c>
      <c r="AO68" s="45">
        <v>567718</v>
      </c>
      <c r="AP68" s="46"/>
    </row>
    <row r="69" spans="15:42">
      <c r="O69" s="42"/>
      <c r="P69" s="42"/>
      <c r="AH69" s="45" t="s">
        <v>1621</v>
      </c>
      <c r="AI69" s="43" t="s">
        <v>1622</v>
      </c>
      <c r="AJ69" s="43" t="s">
        <v>1612</v>
      </c>
      <c r="AK69" s="43" t="s">
        <v>1623</v>
      </c>
      <c r="AL69" s="43" t="s">
        <v>1614</v>
      </c>
      <c r="AM69" s="43" t="s">
        <v>1615</v>
      </c>
      <c r="AN69" t="s">
        <v>1624</v>
      </c>
      <c r="AO69" s="45">
        <v>480410</v>
      </c>
      <c r="AP69" s="46"/>
    </row>
    <row r="70" spans="15:42">
      <c r="O70" s="42"/>
      <c r="P70" s="42"/>
      <c r="AH70" s="45" t="s">
        <v>1625</v>
      </c>
      <c r="AI70" s="43" t="s">
        <v>1626</v>
      </c>
      <c r="AJ70" s="43" t="s">
        <v>1612</v>
      </c>
      <c r="AK70" s="43" t="s">
        <v>1627</v>
      </c>
      <c r="AL70" s="43" t="s">
        <v>1614</v>
      </c>
      <c r="AM70" s="43" t="s">
        <v>1615</v>
      </c>
      <c r="AN70" t="s">
        <v>1628</v>
      </c>
      <c r="AO70" s="45">
        <v>563832</v>
      </c>
      <c r="AP70" s="46"/>
    </row>
    <row r="71" spans="15:42">
      <c r="O71" s="42"/>
      <c r="P71" s="42"/>
      <c r="AH71" s="45" t="s">
        <v>1629</v>
      </c>
      <c r="AI71" s="43" t="s">
        <v>1630</v>
      </c>
      <c r="AJ71" s="43" t="s">
        <v>1612</v>
      </c>
      <c r="AK71" s="43" t="s">
        <v>1631</v>
      </c>
      <c r="AL71" s="43" t="s">
        <v>1614</v>
      </c>
      <c r="AM71" s="43" t="s">
        <v>1615</v>
      </c>
      <c r="AN71" t="s">
        <v>1632</v>
      </c>
      <c r="AO71" s="45">
        <v>103417</v>
      </c>
      <c r="AP71" s="46"/>
    </row>
    <row r="72" spans="15:42">
      <c r="O72" s="42"/>
      <c r="P72" s="42"/>
      <c r="AH72" s="45" t="s">
        <v>1633</v>
      </c>
      <c r="AI72" s="43" t="s">
        <v>1634</v>
      </c>
      <c r="AJ72" s="43" t="s">
        <v>1612</v>
      </c>
      <c r="AK72" s="43" t="s">
        <v>1635</v>
      </c>
      <c r="AL72" s="43" t="s">
        <v>1614</v>
      </c>
      <c r="AM72" s="43" t="s">
        <v>1615</v>
      </c>
      <c r="AN72" t="s">
        <v>1636</v>
      </c>
      <c r="AO72" s="45">
        <v>563879</v>
      </c>
      <c r="AP72" s="46"/>
    </row>
    <row r="73" spans="15:42">
      <c r="O73" s="42"/>
      <c r="P73" s="42"/>
      <c r="AH73" s="45" t="s">
        <v>1637</v>
      </c>
      <c r="AI73" s="43" t="s">
        <v>1638</v>
      </c>
      <c r="AJ73" s="43" t="s">
        <v>1612</v>
      </c>
      <c r="AK73" s="43" t="s">
        <v>1639</v>
      </c>
      <c r="AL73" s="43" t="s">
        <v>1614</v>
      </c>
      <c r="AM73" s="43" t="s">
        <v>1615</v>
      </c>
      <c r="AN73" t="s">
        <v>1640</v>
      </c>
      <c r="AO73" s="45">
        <v>616958</v>
      </c>
      <c r="AP73" s="46"/>
    </row>
    <row r="74" spans="15:42">
      <c r="O74" s="42"/>
      <c r="P74" s="42"/>
      <c r="AH74" s="45" t="s">
        <v>1641</v>
      </c>
      <c r="AI74" s="43" t="s">
        <v>1642</v>
      </c>
      <c r="AJ74" s="43" t="s">
        <v>1003</v>
      </c>
      <c r="AK74" s="43" t="s">
        <v>1642</v>
      </c>
      <c r="AN74" t="s">
        <v>1643</v>
      </c>
      <c r="AO74" s="45">
        <v>555276</v>
      </c>
      <c r="AP74" s="46"/>
    </row>
    <row r="75" spans="15:42">
      <c r="O75" s="42"/>
      <c r="P75" s="42"/>
      <c r="AH75" s="45" t="s">
        <v>1644</v>
      </c>
      <c r="AI75" s="43" t="s">
        <v>1645</v>
      </c>
      <c r="AJ75" s="43" t="s">
        <v>1003</v>
      </c>
      <c r="AK75" s="43" t="s">
        <v>1645</v>
      </c>
      <c r="AN75" t="s">
        <v>1646</v>
      </c>
      <c r="AO75" s="45">
        <v>615565</v>
      </c>
      <c r="AP75" s="46"/>
    </row>
    <row r="76" spans="15:42">
      <c r="O76" s="42"/>
      <c r="P76" s="42"/>
      <c r="AH76" s="45" t="s">
        <v>1647</v>
      </c>
      <c r="AI76" s="43" t="s">
        <v>1648</v>
      </c>
      <c r="AJ76" s="43" t="s">
        <v>1003</v>
      </c>
      <c r="AK76" s="43" t="s">
        <v>1648</v>
      </c>
      <c r="AN76" t="s">
        <v>1649</v>
      </c>
      <c r="AO76" s="45">
        <v>567044</v>
      </c>
      <c r="AP76" s="46"/>
    </row>
    <row r="77" spans="15:42">
      <c r="O77" s="42"/>
      <c r="P77" s="42"/>
      <c r="AH77" s="45" t="s">
        <v>1650</v>
      </c>
      <c r="AI77" s="43" t="s">
        <v>1651</v>
      </c>
      <c r="AJ77" s="43" t="s">
        <v>1003</v>
      </c>
      <c r="AK77" s="43" t="s">
        <v>1651</v>
      </c>
      <c r="AN77" t="s">
        <v>1652</v>
      </c>
      <c r="AO77" s="45">
        <v>617031</v>
      </c>
      <c r="AP77" s="46"/>
    </row>
    <row r="78" spans="15:42">
      <c r="O78" s="42"/>
      <c r="P78" s="42"/>
      <c r="AH78" s="45" t="s">
        <v>1653</v>
      </c>
      <c r="AI78" s="43" t="s">
        <v>1654</v>
      </c>
      <c r="AJ78" s="43" t="s">
        <v>1003</v>
      </c>
      <c r="AK78" s="43" t="s">
        <v>1654</v>
      </c>
      <c r="AN78" t="s">
        <v>1655</v>
      </c>
      <c r="AO78" s="45">
        <v>617033</v>
      </c>
      <c r="AP78" s="46"/>
    </row>
    <row r="79" spans="15:42">
      <c r="O79" s="42"/>
      <c r="P79" s="42"/>
      <c r="AH79" s="45" t="s">
        <v>1656</v>
      </c>
      <c r="AI79" s="43" t="s">
        <v>1657</v>
      </c>
      <c r="AJ79" s="43" t="s">
        <v>1003</v>
      </c>
      <c r="AK79" s="43" t="s">
        <v>1657</v>
      </c>
      <c r="AN79" t="s">
        <v>1658</v>
      </c>
      <c r="AO79" s="45">
        <v>564528</v>
      </c>
      <c r="AP79" s="46"/>
    </row>
    <row r="80" spans="15:42">
      <c r="O80" s="42"/>
      <c r="P80" s="42"/>
      <c r="AH80" s="45" t="s">
        <v>1659</v>
      </c>
      <c r="AI80" s="43" t="s">
        <v>1660</v>
      </c>
      <c r="AJ80" s="43" t="s">
        <v>1003</v>
      </c>
      <c r="AK80" s="43" t="s">
        <v>1660</v>
      </c>
      <c r="AN80" t="s">
        <v>1661</v>
      </c>
      <c r="AO80" s="45">
        <v>609628</v>
      </c>
      <c r="AP80" s="46"/>
    </row>
    <row r="81" spans="15:42">
      <c r="O81" s="42"/>
      <c r="P81" s="42"/>
      <c r="AH81" s="45" t="s">
        <v>1662</v>
      </c>
      <c r="AI81" s="43" t="s">
        <v>1663</v>
      </c>
      <c r="AJ81" s="43" t="s">
        <v>1003</v>
      </c>
      <c r="AK81" s="43" t="s">
        <v>1663</v>
      </c>
      <c r="AN81" t="s">
        <v>1664</v>
      </c>
      <c r="AO81" s="45">
        <v>564254</v>
      </c>
      <c r="AP81" s="46"/>
    </row>
    <row r="82" spans="15:42">
      <c r="O82" s="42"/>
      <c r="P82" s="42"/>
      <c r="AH82" s="45" t="s">
        <v>1665</v>
      </c>
      <c r="AI82" s="43" t="s">
        <v>1666</v>
      </c>
      <c r="AJ82" s="43" t="s">
        <v>1003</v>
      </c>
      <c r="AK82" s="43" t="s">
        <v>1666</v>
      </c>
      <c r="AN82" t="s">
        <v>1667</v>
      </c>
      <c r="AO82" s="45">
        <v>470689</v>
      </c>
      <c r="AP82" s="46"/>
    </row>
    <row r="83" spans="15:42">
      <c r="O83" s="42"/>
      <c r="P83" s="42"/>
      <c r="AH83" s="45" t="s">
        <v>1668</v>
      </c>
      <c r="AI83" s="43" t="s">
        <v>1669</v>
      </c>
      <c r="AJ83" s="43" t="s">
        <v>1003</v>
      </c>
      <c r="AK83" s="43" t="s">
        <v>1669</v>
      </c>
      <c r="AN83" t="s">
        <v>1670</v>
      </c>
      <c r="AO83" s="45">
        <v>455216</v>
      </c>
      <c r="AP83" s="46"/>
    </row>
    <row r="84" spans="15:42">
      <c r="O84" s="42"/>
      <c r="P84" s="42"/>
      <c r="AH84" s="45" t="s">
        <v>1671</v>
      </c>
      <c r="AI84" s="43" t="s">
        <v>1672</v>
      </c>
      <c r="AJ84" s="43" t="s">
        <v>1003</v>
      </c>
      <c r="AK84" s="43" t="s">
        <v>1672</v>
      </c>
      <c r="AN84" t="s">
        <v>1673</v>
      </c>
      <c r="AO84" s="45">
        <v>417796</v>
      </c>
      <c r="AP84" s="46"/>
    </row>
    <row r="85" spans="15:42">
      <c r="O85" s="42"/>
      <c r="P85" s="42"/>
      <c r="AH85" s="45" t="s">
        <v>1674</v>
      </c>
      <c r="AI85" s="43" t="s">
        <v>1675</v>
      </c>
      <c r="AJ85" s="43" t="s">
        <v>1003</v>
      </c>
      <c r="AK85" s="43" t="s">
        <v>1675</v>
      </c>
      <c r="AN85" t="s">
        <v>1676</v>
      </c>
      <c r="AO85" s="45">
        <v>567264</v>
      </c>
      <c r="AP85" s="46"/>
    </row>
    <row r="86" spans="15:42">
      <c r="O86" s="42"/>
      <c r="P86" s="42"/>
      <c r="AH86" s="45" t="s">
        <v>1677</v>
      </c>
      <c r="AI86" s="43" t="s">
        <v>1678</v>
      </c>
      <c r="AJ86" s="43" t="s">
        <v>1003</v>
      </c>
      <c r="AK86" s="43" t="s">
        <v>1678</v>
      </c>
      <c r="AN86" t="s">
        <v>1679</v>
      </c>
      <c r="AO86" s="45">
        <v>566475</v>
      </c>
      <c r="AP86" s="46"/>
    </row>
    <row r="87" spans="15:42">
      <c r="O87" s="42"/>
      <c r="P87" s="42"/>
      <c r="AH87" s="45" t="s">
        <v>1680</v>
      </c>
      <c r="AI87" s="43" t="s">
        <v>1681</v>
      </c>
      <c r="AJ87" s="43" t="s">
        <v>1003</v>
      </c>
      <c r="AK87" s="43" t="s">
        <v>1681</v>
      </c>
      <c r="AN87" t="s">
        <v>1682</v>
      </c>
      <c r="AO87" s="45">
        <v>567261</v>
      </c>
      <c r="AP87" s="46"/>
    </row>
    <row r="88" spans="15:42">
      <c r="O88" s="42"/>
      <c r="P88" s="42"/>
      <c r="AH88" s="45" t="s">
        <v>1683</v>
      </c>
      <c r="AI88" s="43" t="s">
        <v>1684</v>
      </c>
      <c r="AJ88" s="43" t="s">
        <v>1003</v>
      </c>
      <c r="AK88" s="43" t="s">
        <v>1684</v>
      </c>
      <c r="AN88" t="s">
        <v>1685</v>
      </c>
      <c r="AO88" s="45">
        <v>567296</v>
      </c>
      <c r="AP88" s="46"/>
    </row>
    <row r="89" spans="15:42">
      <c r="O89" s="42"/>
      <c r="P89" s="42"/>
      <c r="AH89" s="45" t="s">
        <v>1686</v>
      </c>
      <c r="AI89" s="43" t="s">
        <v>1687</v>
      </c>
      <c r="AJ89" s="43" t="s">
        <v>1003</v>
      </c>
      <c r="AK89" s="43" t="s">
        <v>1687</v>
      </c>
      <c r="AN89" t="s">
        <v>1688</v>
      </c>
      <c r="AO89" s="45">
        <v>567262</v>
      </c>
      <c r="AP89" s="46"/>
    </row>
    <row r="90" spans="15:42">
      <c r="O90" s="42"/>
      <c r="P90" s="42"/>
      <c r="AH90" s="45" t="s">
        <v>1689</v>
      </c>
      <c r="AI90" s="43" t="s">
        <v>1690</v>
      </c>
      <c r="AJ90" s="43" t="s">
        <v>1003</v>
      </c>
      <c r="AK90" s="43" t="s">
        <v>1690</v>
      </c>
      <c r="AN90" t="s">
        <v>1691</v>
      </c>
      <c r="AO90" s="45">
        <v>486268</v>
      </c>
      <c r="AP90" s="46"/>
    </row>
    <row r="91" spans="15:42">
      <c r="O91" s="42"/>
      <c r="P91" s="42"/>
      <c r="AH91" s="45" t="s">
        <v>1656</v>
      </c>
      <c r="AI91" s="43" t="s">
        <v>1692</v>
      </c>
      <c r="AJ91" s="43" t="s">
        <v>1003</v>
      </c>
      <c r="AK91" s="43" t="s">
        <v>1692</v>
      </c>
      <c r="AN91" t="s">
        <v>1693</v>
      </c>
      <c r="AO91" s="45">
        <v>609627</v>
      </c>
      <c r="AP91" s="46"/>
    </row>
    <row r="92" spans="15:42">
      <c r="O92" s="42"/>
      <c r="P92" s="42"/>
      <c r="AH92" s="45" t="s">
        <v>1694</v>
      </c>
      <c r="AI92" s="43" t="s">
        <v>1695</v>
      </c>
      <c r="AJ92" s="43" t="s">
        <v>1003</v>
      </c>
      <c r="AK92" s="43" t="s">
        <v>1695</v>
      </c>
      <c r="AN92" t="s">
        <v>1696</v>
      </c>
      <c r="AO92" s="45">
        <v>96263</v>
      </c>
      <c r="AP92" s="46"/>
    </row>
    <row r="93" spans="15:42">
      <c r="O93" s="42"/>
      <c r="P93" s="42"/>
      <c r="AH93" s="45" t="s">
        <v>1697</v>
      </c>
      <c r="AI93" s="43" t="s">
        <v>1698</v>
      </c>
      <c r="AJ93" s="43" t="s">
        <v>1003</v>
      </c>
      <c r="AK93" s="43" t="s">
        <v>1698</v>
      </c>
      <c r="AN93" t="s">
        <v>1699</v>
      </c>
      <c r="AO93" s="45">
        <v>608360</v>
      </c>
      <c r="AP93" s="46"/>
    </row>
    <row r="94" spans="15:42">
      <c r="O94" s="42"/>
      <c r="P94" s="42"/>
      <c r="AH94" s="45" t="s">
        <v>1700</v>
      </c>
      <c r="AI94" s="43" t="s">
        <v>1701</v>
      </c>
      <c r="AJ94" s="43" t="s">
        <v>1003</v>
      </c>
      <c r="AK94" s="43" t="s">
        <v>1701</v>
      </c>
      <c r="AN94" t="s">
        <v>1702</v>
      </c>
      <c r="AO94" s="45">
        <v>544655</v>
      </c>
      <c r="AP94" s="46"/>
    </row>
    <row r="95" spans="15:42">
      <c r="O95" s="42"/>
      <c r="P95" s="42"/>
      <c r="AH95" s="45" t="s">
        <v>1703</v>
      </c>
      <c r="AI95" s="43" t="s">
        <v>1704</v>
      </c>
      <c r="AJ95" s="43" t="s">
        <v>1003</v>
      </c>
      <c r="AK95" s="43" t="s">
        <v>1704</v>
      </c>
      <c r="AN95" t="s">
        <v>1705</v>
      </c>
      <c r="AO95" s="45">
        <v>566355</v>
      </c>
      <c r="AP95" s="46"/>
    </row>
    <row r="96" spans="15:42">
      <c r="O96" s="42"/>
      <c r="P96" s="42"/>
      <c r="AH96" s="45" t="s">
        <v>1706</v>
      </c>
      <c r="AI96" s="43" t="s">
        <v>1707</v>
      </c>
      <c r="AJ96" s="43" t="s">
        <v>1003</v>
      </c>
      <c r="AK96" s="43" t="s">
        <v>1707</v>
      </c>
      <c r="AN96" t="s">
        <v>1708</v>
      </c>
      <c r="AO96" s="45">
        <v>608829</v>
      </c>
      <c r="AP96" s="46"/>
    </row>
    <row r="97" spans="15:42">
      <c r="O97" s="42"/>
      <c r="P97" s="42"/>
      <c r="AH97" s="45" t="s">
        <v>1656</v>
      </c>
      <c r="AI97" s="43" t="s">
        <v>1709</v>
      </c>
      <c r="AJ97" s="43" t="s">
        <v>1003</v>
      </c>
      <c r="AK97" s="43" t="s">
        <v>1709</v>
      </c>
      <c r="AN97" t="s">
        <v>1710</v>
      </c>
      <c r="AO97" s="45">
        <v>609097</v>
      </c>
      <c r="AP97" s="46"/>
    </row>
    <row r="98" spans="15:42">
      <c r="O98" s="42"/>
      <c r="P98" s="42"/>
      <c r="AH98" s="45" t="s">
        <v>1711</v>
      </c>
      <c r="AI98" s="43" t="s">
        <v>1712</v>
      </c>
      <c r="AJ98" s="43" t="s">
        <v>1003</v>
      </c>
      <c r="AK98" s="43" t="s">
        <v>1712</v>
      </c>
      <c r="AN98" t="s">
        <v>1713</v>
      </c>
      <c r="AO98" s="45">
        <v>606846</v>
      </c>
      <c r="AP98" s="46"/>
    </row>
    <row r="99" spans="15:42">
      <c r="O99" s="42"/>
      <c r="P99" s="42"/>
      <c r="AH99" s="45" t="s">
        <v>1714</v>
      </c>
      <c r="AI99" s="43" t="s">
        <v>1715</v>
      </c>
      <c r="AJ99" s="43" t="s">
        <v>1003</v>
      </c>
      <c r="AK99" s="43" t="s">
        <v>1715</v>
      </c>
      <c r="AN99" t="s">
        <v>1716</v>
      </c>
      <c r="AO99" s="45">
        <v>616312</v>
      </c>
      <c r="AP99" s="46"/>
    </row>
    <row r="100" spans="15:42">
      <c r="O100" s="42"/>
      <c r="P100" s="42"/>
      <c r="AH100" s="45" t="s">
        <v>1717</v>
      </c>
      <c r="AI100" s="43" t="s">
        <v>1718</v>
      </c>
      <c r="AJ100" s="43" t="s">
        <v>1003</v>
      </c>
      <c r="AK100" s="43" t="s">
        <v>1718</v>
      </c>
      <c r="AN100" t="s">
        <v>1719</v>
      </c>
      <c r="AO100" s="45">
        <v>255</v>
      </c>
      <c r="AP100" s="46"/>
    </row>
    <row r="101" spans="15:42">
      <c r="O101" s="42"/>
      <c r="P101" s="42"/>
      <c r="AH101" s="45" t="s">
        <v>1720</v>
      </c>
      <c r="AI101" s="43" t="s">
        <v>1721</v>
      </c>
      <c r="AJ101" s="43" t="s">
        <v>1003</v>
      </c>
      <c r="AK101" s="43" t="s">
        <v>1721</v>
      </c>
      <c r="AN101" t="s">
        <v>1722</v>
      </c>
      <c r="AO101" s="45">
        <v>96262</v>
      </c>
      <c r="AP101" s="46"/>
    </row>
    <row r="102" spans="15:42">
      <c r="O102" s="42"/>
      <c r="P102" s="42"/>
      <c r="AH102" s="45" t="s">
        <v>1723</v>
      </c>
      <c r="AI102" s="43" t="s">
        <v>1724</v>
      </c>
      <c r="AJ102" s="43" t="s">
        <v>1003</v>
      </c>
      <c r="AK102" s="43" t="s">
        <v>1724</v>
      </c>
      <c r="AN102" t="s">
        <v>1722</v>
      </c>
      <c r="AO102" s="45">
        <v>305</v>
      </c>
      <c r="AP102" s="46"/>
    </row>
    <row r="103" spans="15:42">
      <c r="O103" s="42"/>
      <c r="P103" s="42"/>
      <c r="AH103" s="45" t="s">
        <v>1725</v>
      </c>
      <c r="AI103" s="43" t="s">
        <v>1726</v>
      </c>
      <c r="AJ103" s="43" t="s">
        <v>1003</v>
      </c>
      <c r="AK103" s="43" t="s">
        <v>1726</v>
      </c>
      <c r="AN103" t="s">
        <v>1727</v>
      </c>
      <c r="AO103" s="45">
        <v>616917</v>
      </c>
      <c r="AP103" s="46"/>
    </row>
    <row r="104" spans="15:42">
      <c r="O104" s="42"/>
      <c r="P104" s="42"/>
      <c r="AH104" s="45" t="s">
        <v>1728</v>
      </c>
      <c r="AI104" s="43" t="s">
        <v>1729</v>
      </c>
      <c r="AJ104" s="43" t="s">
        <v>1003</v>
      </c>
      <c r="AK104" s="43" t="s">
        <v>1729</v>
      </c>
      <c r="AN104" t="s">
        <v>1730</v>
      </c>
      <c r="AO104" s="45">
        <v>582183</v>
      </c>
      <c r="AP104" s="46"/>
    </row>
    <row r="105" spans="15:42">
      <c r="O105" s="42"/>
      <c r="P105" s="42"/>
      <c r="AH105" s="45" t="s">
        <v>1731</v>
      </c>
      <c r="AI105" s="43" t="s">
        <v>1732</v>
      </c>
      <c r="AJ105" s="43" t="s">
        <v>1003</v>
      </c>
      <c r="AK105" s="43" t="s">
        <v>1732</v>
      </c>
      <c r="AN105" t="s">
        <v>1733</v>
      </c>
      <c r="AO105" s="45">
        <v>617121</v>
      </c>
      <c r="AP105" s="46"/>
    </row>
    <row r="106" spans="15:42">
      <c r="O106" s="42"/>
      <c r="P106" s="42"/>
      <c r="AH106" s="45" t="s">
        <v>1734</v>
      </c>
      <c r="AI106" s="43" t="s">
        <v>1735</v>
      </c>
      <c r="AJ106" s="43" t="s">
        <v>1003</v>
      </c>
      <c r="AK106" s="43" t="s">
        <v>1735</v>
      </c>
      <c r="AN106" t="s">
        <v>1736</v>
      </c>
      <c r="AO106" s="45">
        <v>607991</v>
      </c>
      <c r="AP106" s="46"/>
    </row>
    <row r="107" spans="15:42">
      <c r="O107" s="42"/>
      <c r="P107" s="42"/>
      <c r="AH107" s="45" t="s">
        <v>1737</v>
      </c>
      <c r="AI107" s="43" t="s">
        <v>1738</v>
      </c>
      <c r="AJ107" s="43" t="s">
        <v>1003</v>
      </c>
      <c r="AK107" s="43" t="s">
        <v>1738</v>
      </c>
      <c r="AN107" t="s">
        <v>1739</v>
      </c>
      <c r="AO107" s="45">
        <v>569914</v>
      </c>
      <c r="AP107" s="46"/>
    </row>
    <row r="108" spans="15:42">
      <c r="O108" s="42"/>
      <c r="P108" s="42"/>
      <c r="AH108" s="45" t="s">
        <v>1740</v>
      </c>
      <c r="AI108" s="43" t="s">
        <v>1741</v>
      </c>
      <c r="AJ108" s="43" t="s">
        <v>1003</v>
      </c>
      <c r="AK108" s="43" t="s">
        <v>1741</v>
      </c>
      <c r="AN108" t="s">
        <v>1742</v>
      </c>
      <c r="AO108" s="45">
        <v>569915</v>
      </c>
      <c r="AP108" s="46"/>
    </row>
    <row r="109" spans="15:42">
      <c r="O109" s="42"/>
      <c r="P109" s="42"/>
      <c r="AH109" s="45" t="s">
        <v>1743</v>
      </c>
      <c r="AI109" s="43" t="s">
        <v>1744</v>
      </c>
      <c r="AJ109" s="43" t="s">
        <v>1003</v>
      </c>
      <c r="AK109" s="43" t="s">
        <v>1744</v>
      </c>
      <c r="AN109" t="s">
        <v>1745</v>
      </c>
      <c r="AO109" s="45">
        <v>607992</v>
      </c>
      <c r="AP109" s="46"/>
    </row>
    <row r="110" spans="15:42">
      <c r="O110" s="42"/>
      <c r="P110" s="42"/>
      <c r="AH110" s="45" t="s">
        <v>1746</v>
      </c>
      <c r="AI110" s="43" t="s">
        <v>1747</v>
      </c>
      <c r="AJ110" s="43" t="s">
        <v>1003</v>
      </c>
      <c r="AK110" s="43" t="s">
        <v>1747</v>
      </c>
      <c r="AN110" t="s">
        <v>1748</v>
      </c>
      <c r="AO110" s="45">
        <v>569913</v>
      </c>
      <c r="AP110" s="46"/>
    </row>
    <row r="111" spans="15:42">
      <c r="O111" s="42"/>
      <c r="P111" s="42"/>
      <c r="AH111" s="45" t="s">
        <v>1749</v>
      </c>
      <c r="AI111" s="43" t="s">
        <v>1750</v>
      </c>
      <c r="AJ111" s="43" t="s">
        <v>1003</v>
      </c>
      <c r="AK111" s="43" t="s">
        <v>1750</v>
      </c>
      <c r="AN111" t="s">
        <v>1751</v>
      </c>
      <c r="AO111" s="45">
        <v>563882</v>
      </c>
      <c r="AP111" s="46"/>
    </row>
    <row r="112" spans="15:42">
      <c r="O112" s="42"/>
      <c r="P112" s="42"/>
      <c r="AH112" s="45" t="s">
        <v>1752</v>
      </c>
      <c r="AI112" s="43" t="s">
        <v>1753</v>
      </c>
      <c r="AJ112" s="43" t="s">
        <v>1003</v>
      </c>
      <c r="AK112" s="43" t="s">
        <v>1753</v>
      </c>
      <c r="AN112" t="s">
        <v>1754</v>
      </c>
      <c r="AO112" s="45">
        <v>617850</v>
      </c>
      <c r="AP112" s="46"/>
    </row>
    <row r="113" spans="15:42">
      <c r="O113" s="42"/>
      <c r="P113" s="42"/>
      <c r="AH113" s="45" t="s">
        <v>1755</v>
      </c>
      <c r="AI113" s="43" t="s">
        <v>1756</v>
      </c>
      <c r="AJ113" s="43" t="s">
        <v>1003</v>
      </c>
      <c r="AK113" s="43" t="s">
        <v>1756</v>
      </c>
      <c r="AN113" t="s">
        <v>1757</v>
      </c>
      <c r="AO113" s="45">
        <v>567717</v>
      </c>
      <c r="AP113" s="46"/>
    </row>
    <row r="114" spans="15:42">
      <c r="O114" s="42"/>
      <c r="P114" s="42"/>
      <c r="AH114" s="45" t="s">
        <v>1758</v>
      </c>
      <c r="AI114" s="43" t="s">
        <v>1759</v>
      </c>
      <c r="AJ114" s="43" t="s">
        <v>1003</v>
      </c>
      <c r="AK114" s="43" t="s">
        <v>1759</v>
      </c>
      <c r="AN114" t="s">
        <v>1760</v>
      </c>
      <c r="AO114" s="45">
        <v>567716</v>
      </c>
      <c r="AP114" s="46"/>
    </row>
    <row r="115" spans="15:42">
      <c r="O115" s="42"/>
      <c r="P115" s="42"/>
      <c r="AH115" s="45" t="s">
        <v>1761</v>
      </c>
      <c r="AI115" s="43" t="s">
        <v>1762</v>
      </c>
      <c r="AJ115" s="43" t="s">
        <v>1003</v>
      </c>
      <c r="AK115" s="43" t="s">
        <v>1762</v>
      </c>
      <c r="AN115" t="s">
        <v>1763</v>
      </c>
      <c r="AO115" s="45">
        <v>567715</v>
      </c>
      <c r="AP115" s="46"/>
    </row>
    <row r="116" spans="15:42">
      <c r="O116" s="42"/>
      <c r="P116" s="42"/>
      <c r="AH116" s="45" t="s">
        <v>1764</v>
      </c>
      <c r="AI116" s="43" t="s">
        <v>1765</v>
      </c>
      <c r="AJ116" s="43" t="s">
        <v>1003</v>
      </c>
      <c r="AK116" s="43" t="s">
        <v>1765</v>
      </c>
      <c r="AN116" t="s">
        <v>1766</v>
      </c>
      <c r="AO116" s="45">
        <v>567911</v>
      </c>
      <c r="AP116" s="46"/>
    </row>
    <row r="117" spans="15:42">
      <c r="O117" s="42"/>
      <c r="P117" s="42"/>
      <c r="AH117" s="45" t="s">
        <v>1767</v>
      </c>
      <c r="AI117" s="43" t="s">
        <v>1768</v>
      </c>
      <c r="AJ117" s="43" t="s">
        <v>1003</v>
      </c>
      <c r="AK117" s="43" t="s">
        <v>1768</v>
      </c>
      <c r="AN117" t="s">
        <v>1769</v>
      </c>
      <c r="AO117" s="45">
        <v>555615</v>
      </c>
      <c r="AP117" s="46"/>
    </row>
    <row r="118" spans="15:42">
      <c r="O118" s="42"/>
      <c r="P118" s="42"/>
      <c r="AH118" s="45" t="s">
        <v>1770</v>
      </c>
      <c r="AI118" s="43" t="s">
        <v>1771</v>
      </c>
      <c r="AJ118" s="43" t="s">
        <v>1003</v>
      </c>
      <c r="AK118" s="43" t="s">
        <v>1771</v>
      </c>
      <c r="AN118" t="s">
        <v>1772</v>
      </c>
      <c r="AO118" s="45">
        <v>555616</v>
      </c>
      <c r="AP118" s="46"/>
    </row>
    <row r="119" spans="15:42">
      <c r="O119" s="42"/>
      <c r="P119" s="42"/>
      <c r="AH119" s="45" t="s">
        <v>1773</v>
      </c>
      <c r="AI119" s="43" t="s">
        <v>1774</v>
      </c>
      <c r="AJ119" s="43" t="s">
        <v>1003</v>
      </c>
      <c r="AK119" s="43" t="s">
        <v>1774</v>
      </c>
      <c r="AN119" t="s">
        <v>1775</v>
      </c>
      <c r="AO119" s="45">
        <v>608017</v>
      </c>
      <c r="AP119" s="46"/>
    </row>
    <row r="120" spans="15:42">
      <c r="O120" s="42"/>
      <c r="P120" s="42"/>
      <c r="AH120" s="45" t="s">
        <v>1776</v>
      </c>
      <c r="AI120" s="43" t="s">
        <v>1777</v>
      </c>
      <c r="AJ120" s="43" t="s">
        <v>1003</v>
      </c>
      <c r="AK120" s="43" t="s">
        <v>1777</v>
      </c>
      <c r="AN120" t="s">
        <v>1778</v>
      </c>
      <c r="AO120" s="45">
        <v>566374</v>
      </c>
      <c r="AP120" s="46"/>
    </row>
    <row r="121" spans="15:42">
      <c r="O121" s="42"/>
      <c r="P121" s="42"/>
      <c r="AH121" s="45" t="s">
        <v>1779</v>
      </c>
      <c r="AI121" s="43" t="s">
        <v>1780</v>
      </c>
      <c r="AJ121" s="43" t="s">
        <v>1003</v>
      </c>
      <c r="AK121" s="43" t="s">
        <v>1780</v>
      </c>
      <c r="AN121" t="s">
        <v>1781</v>
      </c>
      <c r="AO121" s="45">
        <v>572575</v>
      </c>
      <c r="AP121" s="46"/>
    </row>
    <row r="122" spans="15:42">
      <c r="O122" s="42"/>
      <c r="P122" s="42"/>
      <c r="AH122" s="45" t="s">
        <v>1782</v>
      </c>
      <c r="AI122" s="43" t="s">
        <v>1783</v>
      </c>
      <c r="AJ122" s="43" t="s">
        <v>1003</v>
      </c>
      <c r="AK122" s="43" t="s">
        <v>1783</v>
      </c>
      <c r="AN122" t="s">
        <v>1784</v>
      </c>
      <c r="AO122" s="45">
        <v>553483</v>
      </c>
      <c r="AP122" s="46"/>
    </row>
    <row r="123" spans="15:42">
      <c r="O123" s="42"/>
      <c r="P123" s="42"/>
      <c r="AH123" s="45" t="s">
        <v>1785</v>
      </c>
      <c r="AI123" s="43" t="s">
        <v>1786</v>
      </c>
      <c r="AJ123" s="43" t="s">
        <v>1003</v>
      </c>
      <c r="AK123" s="43" t="s">
        <v>1786</v>
      </c>
      <c r="AN123" t="s">
        <v>1787</v>
      </c>
      <c r="AO123" s="45">
        <v>564506</v>
      </c>
      <c r="AP123" s="46"/>
    </row>
    <row r="124" spans="15:42">
      <c r="O124" s="42"/>
      <c r="P124" s="42"/>
      <c r="AH124" s="45" t="s">
        <v>1788</v>
      </c>
      <c r="AI124" s="43" t="s">
        <v>1789</v>
      </c>
      <c r="AJ124" s="43" t="s">
        <v>1003</v>
      </c>
      <c r="AK124" s="43" t="s">
        <v>1789</v>
      </c>
      <c r="AN124" t="s">
        <v>1790</v>
      </c>
      <c r="AO124" s="45">
        <v>480396</v>
      </c>
      <c r="AP124" s="46"/>
    </row>
    <row r="125" spans="15:42">
      <c r="O125" s="42"/>
      <c r="P125" s="42"/>
      <c r="AH125" s="45" t="s">
        <v>1791</v>
      </c>
      <c r="AI125" s="43" t="s">
        <v>1792</v>
      </c>
      <c r="AJ125" s="43" t="s">
        <v>1003</v>
      </c>
      <c r="AK125" s="43" t="s">
        <v>1792</v>
      </c>
      <c r="AN125" t="s">
        <v>1793</v>
      </c>
      <c r="AO125" s="45">
        <v>571282</v>
      </c>
      <c r="AP125" s="46"/>
    </row>
    <row r="126" spans="15:42">
      <c r="O126" s="42"/>
      <c r="P126" s="42"/>
      <c r="AH126" s="45" t="s">
        <v>1794</v>
      </c>
      <c r="AI126" s="43" t="s">
        <v>1795</v>
      </c>
      <c r="AJ126" s="43" t="s">
        <v>1003</v>
      </c>
      <c r="AK126" s="43" t="s">
        <v>1795</v>
      </c>
      <c r="AN126" t="s">
        <v>1796</v>
      </c>
      <c r="AO126" s="45">
        <v>567626</v>
      </c>
      <c r="AP126" s="46"/>
    </row>
    <row r="127" spans="15:42">
      <c r="O127" s="42"/>
      <c r="P127" s="42"/>
      <c r="AH127" s="45" t="s">
        <v>1797</v>
      </c>
      <c r="AI127" s="43" t="s">
        <v>1798</v>
      </c>
      <c r="AJ127" s="43" t="s">
        <v>1003</v>
      </c>
      <c r="AK127" s="43" t="s">
        <v>1798</v>
      </c>
      <c r="AN127" t="s">
        <v>1799</v>
      </c>
      <c r="AO127" s="45">
        <v>564638</v>
      </c>
      <c r="AP127" s="46"/>
    </row>
    <row r="128" spans="15:42">
      <c r="O128" s="42"/>
      <c r="P128" s="42"/>
      <c r="AH128" s="45" t="s">
        <v>1800</v>
      </c>
      <c r="AI128" s="43" t="s">
        <v>1801</v>
      </c>
      <c r="AJ128" s="43" t="s">
        <v>1003</v>
      </c>
      <c r="AK128" s="43" t="s">
        <v>1801</v>
      </c>
      <c r="AN128" t="s">
        <v>1802</v>
      </c>
      <c r="AO128" s="45">
        <v>607556</v>
      </c>
      <c r="AP128" s="46"/>
    </row>
    <row r="129" spans="15:42">
      <c r="O129" s="42"/>
      <c r="P129" s="42"/>
      <c r="AN129" t="s">
        <v>1803</v>
      </c>
      <c r="AO129" s="45">
        <v>566664</v>
      </c>
      <c r="AP129" s="46"/>
    </row>
    <row r="130" spans="15:42">
      <c r="O130" s="42"/>
      <c r="P130" s="42"/>
      <c r="AN130" t="s">
        <v>1804</v>
      </c>
      <c r="AO130" s="45">
        <v>500724</v>
      </c>
      <c r="AP130" s="46"/>
    </row>
    <row r="131" spans="15:42">
      <c r="O131" s="42"/>
      <c r="P131" s="42"/>
      <c r="AN131" t="s">
        <v>1805</v>
      </c>
      <c r="AO131" s="45">
        <v>564972</v>
      </c>
      <c r="AP131" s="46"/>
    </row>
    <row r="132" spans="15:42">
      <c r="O132" s="42"/>
      <c r="P132" s="42"/>
      <c r="AN132" t="s">
        <v>1806</v>
      </c>
      <c r="AO132" s="45">
        <v>566991</v>
      </c>
      <c r="AP132" s="46"/>
    </row>
    <row r="133" spans="15:42">
      <c r="O133" s="42"/>
      <c r="P133" s="42"/>
      <c r="AN133" t="s">
        <v>1807</v>
      </c>
      <c r="AO133" s="45">
        <v>567901</v>
      </c>
      <c r="AP133" s="46"/>
    </row>
    <row r="134" spans="15:42">
      <c r="O134" s="42"/>
      <c r="P134" s="42"/>
      <c r="AN134" t="s">
        <v>1808</v>
      </c>
      <c r="AO134" s="45">
        <v>568019</v>
      </c>
      <c r="AP134" s="46"/>
    </row>
    <row r="135" spans="15:42">
      <c r="O135" s="42"/>
      <c r="P135" s="42"/>
      <c r="AN135" t="s">
        <v>1809</v>
      </c>
      <c r="AO135" s="45">
        <v>611794</v>
      </c>
      <c r="AP135" s="46"/>
    </row>
    <row r="136" spans="15:42">
      <c r="O136" s="42"/>
      <c r="P136" s="42"/>
      <c r="AN136" t="s">
        <v>1810</v>
      </c>
      <c r="AO136" s="45">
        <v>608702</v>
      </c>
      <c r="AP136" s="46"/>
    </row>
    <row r="137" spans="15:42">
      <c r="O137" s="42"/>
      <c r="P137" s="42"/>
      <c r="AN137" t="s">
        <v>1811</v>
      </c>
      <c r="AO137" s="45">
        <v>480415</v>
      </c>
      <c r="AP137" s="46"/>
    </row>
    <row r="138" spans="15:42">
      <c r="O138" s="42"/>
      <c r="P138" s="42"/>
      <c r="AN138" t="s">
        <v>1812</v>
      </c>
      <c r="AO138" s="45">
        <v>607313</v>
      </c>
      <c r="AP138" s="46"/>
    </row>
    <row r="139" spans="15:42">
      <c r="O139" s="42"/>
      <c r="P139" s="42"/>
      <c r="AN139" t="s">
        <v>1813</v>
      </c>
      <c r="AO139" s="45">
        <v>273</v>
      </c>
      <c r="AP139" s="46"/>
    </row>
    <row r="140" spans="15:42">
      <c r="O140" s="42"/>
      <c r="P140" s="42"/>
      <c r="AN140" t="s">
        <v>1814</v>
      </c>
      <c r="AO140" s="45">
        <v>555617</v>
      </c>
      <c r="AP140" s="46"/>
    </row>
    <row r="141" spans="15:42">
      <c r="O141" s="42"/>
      <c r="P141" s="42"/>
      <c r="AN141" t="s">
        <v>1815</v>
      </c>
      <c r="AO141" s="45">
        <v>232</v>
      </c>
      <c r="AP141" s="46"/>
    </row>
    <row r="142" spans="15:42">
      <c r="O142" s="42"/>
      <c r="P142" s="42"/>
      <c r="AN142" t="s">
        <v>1816</v>
      </c>
      <c r="AO142" s="45">
        <v>566479</v>
      </c>
      <c r="AP142" s="46"/>
    </row>
    <row r="143" spans="15:42">
      <c r="O143" s="42"/>
      <c r="P143" s="42"/>
      <c r="AN143" t="s">
        <v>1817</v>
      </c>
      <c r="AO143" s="45">
        <v>608085</v>
      </c>
      <c r="AP143" s="46"/>
    </row>
    <row r="144" spans="15:42">
      <c r="O144" s="42"/>
      <c r="P144" s="42"/>
      <c r="AN144" t="s">
        <v>1818</v>
      </c>
      <c r="AO144" s="45">
        <v>572296</v>
      </c>
      <c r="AP144" s="46"/>
    </row>
    <row r="145" spans="15:42">
      <c r="O145" s="42"/>
      <c r="P145" s="42"/>
      <c r="AN145" t="s">
        <v>1819</v>
      </c>
      <c r="AO145" s="45">
        <v>617683</v>
      </c>
      <c r="AP145" s="46"/>
    </row>
    <row r="146" spans="15:42">
      <c r="O146" s="42"/>
      <c r="P146" s="42"/>
      <c r="AN146" t="s">
        <v>1820</v>
      </c>
      <c r="AO146" s="45">
        <v>556762</v>
      </c>
      <c r="AP146" s="46"/>
    </row>
    <row r="147" spans="15:42">
      <c r="O147" s="42"/>
      <c r="P147" s="42"/>
      <c r="AN147" t="s">
        <v>1821</v>
      </c>
      <c r="AO147" s="45">
        <v>607888</v>
      </c>
      <c r="AP147" s="46"/>
    </row>
    <row r="148" spans="15:42">
      <c r="O148" s="42"/>
      <c r="P148" s="42"/>
      <c r="AN148" t="s">
        <v>1822</v>
      </c>
      <c r="AO148" s="45">
        <v>556752</v>
      </c>
      <c r="AP148" s="46"/>
    </row>
    <row r="149" spans="15:42">
      <c r="O149" s="42"/>
      <c r="P149" s="42"/>
      <c r="AN149" t="s">
        <v>1823</v>
      </c>
      <c r="AO149" s="45">
        <v>563888</v>
      </c>
      <c r="AP149" s="46"/>
    </row>
    <row r="150" spans="15:42">
      <c r="O150" s="42"/>
      <c r="P150" s="42"/>
      <c r="AN150" t="s">
        <v>1824</v>
      </c>
      <c r="AO150" s="45">
        <v>569361</v>
      </c>
      <c r="AP150" s="46"/>
    </row>
    <row r="151" spans="15:42">
      <c r="O151" s="42"/>
      <c r="P151" s="42"/>
      <c r="AN151" t="s">
        <v>1825</v>
      </c>
      <c r="AO151" s="45">
        <v>573013</v>
      </c>
      <c r="AP151" s="46"/>
    </row>
    <row r="152" spans="15:42">
      <c r="O152" s="42"/>
      <c r="P152" s="42"/>
      <c r="AN152" t="s">
        <v>1826</v>
      </c>
      <c r="AO152" s="45">
        <v>553496</v>
      </c>
      <c r="AP152" s="46"/>
    </row>
    <row r="153" spans="15:42">
      <c r="O153" s="42"/>
      <c r="P153" s="42"/>
      <c r="AN153" t="s">
        <v>1827</v>
      </c>
      <c r="AO153" s="45">
        <v>618342</v>
      </c>
      <c r="AP153" s="46"/>
    </row>
    <row r="154" spans="15:42">
      <c r="O154" s="42"/>
      <c r="P154" s="42"/>
      <c r="AN154" t="s">
        <v>1828</v>
      </c>
      <c r="AO154" s="45">
        <v>566587</v>
      </c>
      <c r="AP154" s="46"/>
    </row>
    <row r="155" spans="15:42">
      <c r="O155" s="42"/>
      <c r="P155" s="42"/>
      <c r="AN155" t="s">
        <v>1829</v>
      </c>
      <c r="AO155" s="45">
        <v>567349</v>
      </c>
      <c r="AP155" s="46"/>
    </row>
    <row r="156" spans="15:42">
      <c r="O156" s="42"/>
      <c r="P156" s="42"/>
      <c r="AN156" t="s">
        <v>1830</v>
      </c>
      <c r="AO156" s="45">
        <v>566421</v>
      </c>
      <c r="AP156" s="46"/>
    </row>
    <row r="157" spans="15:42">
      <c r="O157" s="42"/>
      <c r="P157" s="42"/>
      <c r="AN157" t="s">
        <v>1831</v>
      </c>
      <c r="AO157" s="45">
        <v>567689</v>
      </c>
      <c r="AP157" s="46"/>
    </row>
    <row r="158" spans="15:42">
      <c r="O158" s="42"/>
      <c r="P158" s="42"/>
      <c r="AN158" t="s">
        <v>1832</v>
      </c>
      <c r="AO158" s="45">
        <v>567472</v>
      </c>
      <c r="AP158" s="46"/>
    </row>
    <row r="159" spans="15:42">
      <c r="O159" s="42"/>
      <c r="P159" s="42"/>
      <c r="AN159" t="s">
        <v>1833</v>
      </c>
      <c r="AO159" s="45">
        <v>607661</v>
      </c>
      <c r="AP159" s="46"/>
    </row>
    <row r="160" spans="15:42">
      <c r="O160" s="42"/>
      <c r="P160" s="42"/>
      <c r="AN160" t="s">
        <v>1834</v>
      </c>
      <c r="AO160" s="45">
        <v>617044</v>
      </c>
      <c r="AP160" s="46"/>
    </row>
    <row r="161" spans="15:42">
      <c r="O161" s="42"/>
      <c r="P161" s="42"/>
      <c r="AN161" t="s">
        <v>1835</v>
      </c>
      <c r="AO161" s="45">
        <v>611395</v>
      </c>
      <c r="AP161" s="46"/>
    </row>
    <row r="162" spans="15:42">
      <c r="O162" s="42"/>
      <c r="P162" s="42"/>
      <c r="AN162" t="s">
        <v>1836</v>
      </c>
      <c r="AO162" s="45">
        <v>570018</v>
      </c>
      <c r="AP162" s="46"/>
    </row>
    <row r="163" spans="15:42">
      <c r="O163" s="42"/>
      <c r="P163" s="42"/>
      <c r="AN163" t="s">
        <v>1837</v>
      </c>
      <c r="AO163" s="45">
        <v>618486</v>
      </c>
      <c r="AP163" s="46"/>
    </row>
    <row r="164" spans="15:42">
      <c r="O164" s="42"/>
      <c r="P164" s="42"/>
      <c r="AN164" t="s">
        <v>1838</v>
      </c>
      <c r="AO164" s="45">
        <v>618479</v>
      </c>
      <c r="AP164" s="46"/>
    </row>
    <row r="165" spans="15:42">
      <c r="O165" s="42"/>
      <c r="P165" s="42"/>
      <c r="AN165" t="s">
        <v>1839</v>
      </c>
      <c r="AO165" s="45">
        <v>589406</v>
      </c>
      <c r="AP165" s="46"/>
    </row>
    <row r="166" spans="15:42">
      <c r="O166" s="42"/>
      <c r="P166" s="42"/>
      <c r="AN166" t="s">
        <v>1840</v>
      </c>
      <c r="AO166" s="45">
        <v>617135</v>
      </c>
      <c r="AP166" s="46"/>
    </row>
    <row r="167" spans="15:42">
      <c r="O167" s="42"/>
      <c r="P167" s="42"/>
      <c r="AN167" t="s">
        <v>1841</v>
      </c>
      <c r="AO167" s="45">
        <v>569444</v>
      </c>
      <c r="AP167" s="46"/>
    </row>
    <row r="168" spans="15:42">
      <c r="O168" s="42"/>
      <c r="P168" s="42"/>
      <c r="AN168" t="s">
        <v>1842</v>
      </c>
      <c r="AO168" s="45">
        <v>569911</v>
      </c>
      <c r="AP168" s="46"/>
    </row>
    <row r="169" spans="15:42">
      <c r="O169" s="42"/>
      <c r="P169" s="42"/>
      <c r="AN169" t="s">
        <v>1843</v>
      </c>
      <c r="AO169" s="45">
        <v>556498</v>
      </c>
      <c r="AP169" s="46"/>
    </row>
    <row r="170" spans="15:42">
      <c r="O170" s="42"/>
      <c r="P170" s="42"/>
      <c r="AN170" t="s">
        <v>1844</v>
      </c>
      <c r="AO170" s="45">
        <v>555662</v>
      </c>
      <c r="AP170" s="46"/>
    </row>
    <row r="171" spans="15:42">
      <c r="O171" s="42"/>
      <c r="P171" s="42"/>
      <c r="AN171" t="s">
        <v>1845</v>
      </c>
      <c r="AO171" s="45">
        <v>467305</v>
      </c>
      <c r="AP171" s="46"/>
    </row>
    <row r="172" spans="15:42">
      <c r="O172" s="42"/>
      <c r="P172" s="42"/>
      <c r="AN172" t="s">
        <v>1846</v>
      </c>
      <c r="AO172" s="45">
        <v>553640</v>
      </c>
      <c r="AP172" s="46"/>
    </row>
    <row r="173" spans="15:42">
      <c r="O173" s="42"/>
      <c r="P173" s="42"/>
      <c r="AN173" t="s">
        <v>1847</v>
      </c>
      <c r="AO173" s="45">
        <v>553650</v>
      </c>
      <c r="AP173" s="46"/>
    </row>
    <row r="174" spans="15:42">
      <c r="O174" s="42"/>
      <c r="P174" s="42"/>
      <c r="AN174" t="s">
        <v>1848</v>
      </c>
      <c r="AO174" s="45">
        <v>307</v>
      </c>
      <c r="AP174" s="46"/>
    </row>
    <row r="175" spans="15:42">
      <c r="O175" s="42"/>
      <c r="P175" s="42"/>
      <c r="AN175" t="s">
        <v>1849</v>
      </c>
      <c r="AO175" s="45">
        <v>569934</v>
      </c>
      <c r="AP175" s="46"/>
    </row>
    <row r="176" spans="15:42">
      <c r="O176" s="42"/>
      <c r="P176" s="42"/>
      <c r="AN176" t="s">
        <v>1850</v>
      </c>
      <c r="AO176" s="45">
        <v>569935</v>
      </c>
      <c r="AP176" s="46"/>
    </row>
    <row r="177" spans="15:42">
      <c r="O177" s="42"/>
      <c r="P177" s="42"/>
      <c r="AN177" t="s">
        <v>1851</v>
      </c>
      <c r="AO177" s="45">
        <v>223</v>
      </c>
      <c r="AP177" s="46"/>
    </row>
    <row r="178" spans="15:42">
      <c r="O178" s="42"/>
      <c r="P178" s="42"/>
      <c r="AN178" t="s">
        <v>1852</v>
      </c>
      <c r="AO178" s="45">
        <v>615183</v>
      </c>
      <c r="AP178" s="46"/>
    </row>
    <row r="179" spans="15:42">
      <c r="O179" s="42"/>
      <c r="P179" s="42"/>
      <c r="AN179" t="s">
        <v>1853</v>
      </c>
      <c r="AO179" s="45">
        <v>567419</v>
      </c>
      <c r="AP179" s="46"/>
    </row>
    <row r="180" spans="15:42">
      <c r="O180" s="42"/>
      <c r="P180" s="42"/>
      <c r="AN180" t="s">
        <v>1854</v>
      </c>
      <c r="AO180" s="45">
        <v>556732</v>
      </c>
      <c r="AP180" s="46"/>
    </row>
    <row r="181" spans="15:42">
      <c r="O181" s="42"/>
      <c r="P181" s="42"/>
      <c r="AN181" t="s">
        <v>1855</v>
      </c>
      <c r="AO181" s="45">
        <v>615825</v>
      </c>
      <c r="AP181" s="46"/>
    </row>
    <row r="182" spans="15:42">
      <c r="O182" s="42"/>
      <c r="P182" s="42"/>
      <c r="AN182" t="s">
        <v>1856</v>
      </c>
      <c r="AO182" s="45">
        <v>477758</v>
      </c>
      <c r="AP182" s="46"/>
    </row>
    <row r="183" spans="15:42">
      <c r="O183" s="42"/>
      <c r="P183" s="42"/>
      <c r="AN183" t="s">
        <v>1857</v>
      </c>
      <c r="AO183" s="45">
        <v>608463</v>
      </c>
      <c r="AP183" s="46"/>
    </row>
    <row r="184" spans="15:42">
      <c r="O184" s="42"/>
      <c r="P184" s="42"/>
      <c r="AN184" t="s">
        <v>1858</v>
      </c>
      <c r="AO184" s="45">
        <v>608016</v>
      </c>
      <c r="AP184" s="46"/>
    </row>
    <row r="185" spans="15:42">
      <c r="O185" s="42"/>
      <c r="P185" s="42"/>
      <c r="AN185" t="s">
        <v>1859</v>
      </c>
      <c r="AO185" s="45">
        <v>608014</v>
      </c>
      <c r="AP185" s="46"/>
    </row>
    <row r="186" spans="15:42">
      <c r="O186" s="42"/>
      <c r="P186" s="42"/>
      <c r="AN186" t="s">
        <v>1860</v>
      </c>
      <c r="AO186" s="45">
        <v>619127</v>
      </c>
      <c r="AP186" s="46"/>
    </row>
    <row r="187" spans="15:42">
      <c r="O187" s="42"/>
      <c r="P187" s="42"/>
      <c r="AN187" t="s">
        <v>1861</v>
      </c>
      <c r="AO187" s="45">
        <v>567473</v>
      </c>
      <c r="AP187" s="46"/>
    </row>
    <row r="188" spans="15:42">
      <c r="O188" s="42"/>
      <c r="P188" s="42"/>
      <c r="AN188" t="s">
        <v>1862</v>
      </c>
      <c r="AO188" s="45">
        <v>567350</v>
      </c>
      <c r="AP188" s="46"/>
    </row>
    <row r="189" spans="15:42">
      <c r="O189" s="42"/>
      <c r="P189" s="42"/>
      <c r="AN189" t="s">
        <v>1863</v>
      </c>
      <c r="AO189" s="45">
        <v>611326</v>
      </c>
      <c r="AP189" s="46"/>
    </row>
    <row r="190" spans="15:42">
      <c r="O190" s="42"/>
      <c r="P190" s="42"/>
      <c r="AN190" t="s">
        <v>1864</v>
      </c>
      <c r="AO190" s="45">
        <v>606946</v>
      </c>
      <c r="AP190" s="46"/>
    </row>
    <row r="191" spans="15:42">
      <c r="O191" s="42"/>
      <c r="P191" s="42"/>
      <c r="AN191" t="s">
        <v>1865</v>
      </c>
      <c r="AO191" s="45">
        <v>609104</v>
      </c>
      <c r="AP191" s="46"/>
    </row>
    <row r="192" spans="15:42">
      <c r="O192" s="42"/>
      <c r="P192" s="42"/>
      <c r="AN192" t="s">
        <v>1866</v>
      </c>
      <c r="AO192" s="45">
        <v>563487</v>
      </c>
      <c r="AP192" s="46"/>
    </row>
    <row r="193" spans="15:42">
      <c r="O193" s="42"/>
      <c r="P193" s="42"/>
      <c r="AN193" t="s">
        <v>1867</v>
      </c>
      <c r="AO193" s="45">
        <v>196</v>
      </c>
      <c r="AP193" s="46"/>
    </row>
    <row r="194" spans="15:42">
      <c r="O194" s="42"/>
      <c r="P194" s="42"/>
      <c r="AN194" t="s">
        <v>1868</v>
      </c>
      <c r="AO194" s="45">
        <v>612644</v>
      </c>
      <c r="AP194" s="46"/>
    </row>
    <row r="195" spans="15:42">
      <c r="O195" s="42"/>
      <c r="P195" s="42"/>
      <c r="AN195" t="s">
        <v>1869</v>
      </c>
      <c r="AO195" s="45">
        <v>544631</v>
      </c>
      <c r="AP195" s="46"/>
    </row>
    <row r="196" spans="15:42">
      <c r="O196" s="42"/>
      <c r="P196" s="42"/>
      <c r="AN196" t="s">
        <v>1870</v>
      </c>
      <c r="AO196" s="45">
        <v>410998</v>
      </c>
      <c r="AP196" s="46"/>
    </row>
    <row r="197" spans="15:42">
      <c r="O197" s="42"/>
      <c r="P197" s="42"/>
      <c r="AN197" t="s">
        <v>1871</v>
      </c>
      <c r="AO197" s="45">
        <v>303</v>
      </c>
      <c r="AP197" s="46"/>
    </row>
    <row r="198" spans="15:42">
      <c r="O198" s="42"/>
      <c r="P198" s="42"/>
      <c r="AN198" t="s">
        <v>1872</v>
      </c>
      <c r="AO198" s="45">
        <v>417706</v>
      </c>
      <c r="AP198" s="46"/>
    </row>
    <row r="199" spans="15:42">
      <c r="O199" s="42"/>
      <c r="P199" s="42"/>
      <c r="AN199" t="s">
        <v>1873</v>
      </c>
      <c r="AO199" s="45">
        <v>615785</v>
      </c>
      <c r="AP199" s="46"/>
    </row>
    <row r="200" spans="15:42">
      <c r="O200" s="42"/>
      <c r="P200" s="42"/>
      <c r="AN200" t="s">
        <v>1874</v>
      </c>
      <c r="AO200" s="45">
        <v>556381</v>
      </c>
      <c r="AP200" s="46"/>
    </row>
    <row r="201" spans="15:42">
      <c r="O201" s="42"/>
      <c r="P201" s="42"/>
      <c r="AN201" t="s">
        <v>1875</v>
      </c>
      <c r="AO201" s="45">
        <v>553474</v>
      </c>
      <c r="AP201" s="46"/>
    </row>
    <row r="202" spans="15:42">
      <c r="O202" s="42"/>
      <c r="P202" s="42"/>
      <c r="AN202" t="s">
        <v>1876</v>
      </c>
      <c r="AO202" s="45">
        <v>616903</v>
      </c>
      <c r="AP202" s="46"/>
    </row>
    <row r="203" spans="15:42">
      <c r="O203" s="42"/>
      <c r="P203" s="42"/>
      <c r="AN203" t="s">
        <v>1877</v>
      </c>
      <c r="AO203" s="45">
        <v>557773</v>
      </c>
      <c r="AP203" s="46"/>
    </row>
    <row r="204" spans="15:42">
      <c r="O204" s="42"/>
      <c r="P204" s="42"/>
      <c r="AN204" t="s">
        <v>1878</v>
      </c>
      <c r="AO204" s="45">
        <v>572307</v>
      </c>
      <c r="AP204" s="46"/>
    </row>
    <row r="205" spans="15:42">
      <c r="O205" s="42"/>
      <c r="P205" s="42"/>
      <c r="AN205" t="s">
        <v>1879</v>
      </c>
      <c r="AO205" s="45">
        <v>607979</v>
      </c>
      <c r="AP205" s="46"/>
    </row>
    <row r="206" spans="15:42">
      <c r="O206" s="42"/>
      <c r="P206" s="42"/>
      <c r="AN206" t="s">
        <v>1880</v>
      </c>
      <c r="AO206" s="45">
        <v>567045</v>
      </c>
      <c r="AP206" s="46"/>
    </row>
    <row r="207" spans="15:42">
      <c r="O207" s="42"/>
      <c r="P207" s="42"/>
      <c r="AN207" t="s">
        <v>1881</v>
      </c>
      <c r="AO207" s="45">
        <v>572114</v>
      </c>
      <c r="AP207" s="46"/>
    </row>
    <row r="208" spans="15:42">
      <c r="O208" s="42"/>
      <c r="P208" s="42"/>
      <c r="AN208" t="s">
        <v>1882</v>
      </c>
      <c r="AO208" s="45">
        <v>618485</v>
      </c>
      <c r="AP208" s="46"/>
    </row>
    <row r="209" spans="15:42">
      <c r="O209" s="42"/>
      <c r="P209" s="42"/>
      <c r="AN209" t="s">
        <v>1883</v>
      </c>
      <c r="AO209" s="45">
        <v>555785</v>
      </c>
      <c r="AP209" s="46"/>
    </row>
    <row r="210" spans="15:42">
      <c r="O210" s="42"/>
      <c r="P210" s="42"/>
      <c r="AN210" t="s">
        <v>1884</v>
      </c>
      <c r="AO210" s="45">
        <v>339070</v>
      </c>
      <c r="AP210" s="46"/>
    </row>
    <row r="211" spans="15:42">
      <c r="O211" s="42"/>
      <c r="P211" s="42"/>
      <c r="AN211" t="s">
        <v>1885</v>
      </c>
      <c r="AO211" s="45">
        <v>553660</v>
      </c>
      <c r="AP211" s="46"/>
    </row>
    <row r="212" spans="15:42">
      <c r="O212" s="42"/>
      <c r="P212" s="42"/>
      <c r="AN212" t="s">
        <v>1886</v>
      </c>
      <c r="AO212" s="45">
        <v>557164</v>
      </c>
      <c r="AP212" s="46"/>
    </row>
    <row r="213" spans="15:42">
      <c r="O213" s="42"/>
      <c r="P213" s="42"/>
      <c r="AN213" t="s">
        <v>1887</v>
      </c>
      <c r="AO213" s="45">
        <v>557163</v>
      </c>
      <c r="AP213" s="46"/>
    </row>
    <row r="214" spans="15:42">
      <c r="O214" s="42"/>
      <c r="P214" s="42"/>
      <c r="AN214" t="s">
        <v>1888</v>
      </c>
      <c r="AO214" s="45">
        <v>555660</v>
      </c>
      <c r="AP214" s="46"/>
    </row>
    <row r="215" spans="15:42">
      <c r="O215" s="42"/>
      <c r="P215" s="42"/>
      <c r="AN215" t="s">
        <v>1889</v>
      </c>
      <c r="AO215" s="45">
        <v>572162</v>
      </c>
      <c r="AP215" s="46"/>
    </row>
    <row r="216" spans="15:42">
      <c r="O216" s="42"/>
      <c r="P216" s="42"/>
      <c r="AN216" t="s">
        <v>1890</v>
      </c>
      <c r="AO216" s="45">
        <v>556770</v>
      </c>
      <c r="AP216" s="46"/>
    </row>
    <row r="217" spans="15:42">
      <c r="O217" s="42"/>
      <c r="P217" s="42"/>
      <c r="AN217" t="s">
        <v>1891</v>
      </c>
      <c r="AO217" s="45">
        <v>556769</v>
      </c>
      <c r="AP217" s="46"/>
    </row>
    <row r="218" spans="15:42">
      <c r="O218" s="42"/>
      <c r="P218" s="42"/>
      <c r="AN218" t="s">
        <v>1892</v>
      </c>
      <c r="AO218" s="45">
        <v>479618</v>
      </c>
      <c r="AP218" s="46"/>
    </row>
    <row r="219" spans="15:42">
      <c r="O219" s="42"/>
      <c r="P219" s="42"/>
      <c r="AN219" t="s">
        <v>1893</v>
      </c>
      <c r="AO219" s="45">
        <v>555973</v>
      </c>
      <c r="AP219" s="46"/>
    </row>
    <row r="220" spans="15:42">
      <c r="O220" s="42"/>
      <c r="P220" s="42"/>
      <c r="AN220" t="s">
        <v>1894</v>
      </c>
      <c r="AO220" s="45">
        <v>555972</v>
      </c>
      <c r="AP220" s="46"/>
    </row>
    <row r="221" spans="15:42">
      <c r="O221" s="42"/>
      <c r="P221" s="42"/>
      <c r="AN221" t="s">
        <v>1895</v>
      </c>
      <c r="AO221" s="45">
        <v>556016</v>
      </c>
      <c r="AP221" s="46"/>
    </row>
    <row r="222" spans="15:42">
      <c r="O222" s="42"/>
      <c r="P222" s="42"/>
      <c r="AN222" t="s">
        <v>1896</v>
      </c>
      <c r="AO222" s="45">
        <v>609076</v>
      </c>
      <c r="AP222" s="46"/>
    </row>
    <row r="223" spans="15:42">
      <c r="O223" s="42"/>
      <c r="P223" s="42"/>
      <c r="AN223" t="s">
        <v>1897</v>
      </c>
      <c r="AO223" s="45">
        <v>606994</v>
      </c>
      <c r="AP223" s="46"/>
    </row>
    <row r="224" spans="15:42">
      <c r="O224" s="42"/>
      <c r="P224" s="42"/>
      <c r="AN224" t="s">
        <v>1898</v>
      </c>
      <c r="AO224" s="45">
        <v>572303</v>
      </c>
      <c r="AP224" s="46"/>
    </row>
    <row r="225" spans="15:42">
      <c r="O225" s="42"/>
      <c r="P225" s="42"/>
      <c r="AN225" t="s">
        <v>1899</v>
      </c>
      <c r="AO225" s="45">
        <v>564025</v>
      </c>
      <c r="AP225" s="46"/>
    </row>
    <row r="226" spans="15:42">
      <c r="O226" s="42"/>
      <c r="P226" s="42"/>
      <c r="AN226" t="s">
        <v>1900</v>
      </c>
      <c r="AO226" s="45">
        <v>556403</v>
      </c>
      <c r="AP226" s="46"/>
    </row>
    <row r="227" spans="15:42">
      <c r="O227" s="42"/>
      <c r="P227" s="42"/>
      <c r="AN227" t="s">
        <v>1901</v>
      </c>
      <c r="AO227" s="45">
        <v>567610</v>
      </c>
      <c r="AP227" s="46"/>
    </row>
    <row r="228" spans="15:42">
      <c r="O228" s="42"/>
      <c r="P228" s="42"/>
      <c r="AN228" t="s">
        <v>1902</v>
      </c>
      <c r="AO228" s="45">
        <v>317220</v>
      </c>
      <c r="AP228" s="46"/>
    </row>
    <row r="229" spans="15:42">
      <c r="O229" s="42"/>
      <c r="P229" s="42"/>
      <c r="AN229" t="s">
        <v>1903</v>
      </c>
      <c r="AO229" s="45">
        <v>556213</v>
      </c>
      <c r="AP229" s="46"/>
    </row>
    <row r="230" spans="15:42">
      <c r="AN230" t="s">
        <v>1904</v>
      </c>
      <c r="AO230" s="45">
        <v>417707</v>
      </c>
      <c r="AP230" s="46"/>
    </row>
    <row r="231" spans="15:42">
      <c r="AN231" t="s">
        <v>1905</v>
      </c>
      <c r="AO231" s="45">
        <v>564257</v>
      </c>
      <c r="AP231" s="46"/>
    </row>
    <row r="232" spans="15:42">
      <c r="AN232" t="s">
        <v>1906</v>
      </c>
      <c r="AO232" s="45">
        <v>564258</v>
      </c>
      <c r="AP232" s="46"/>
    </row>
    <row r="233" spans="15:42">
      <c r="AN233" t="s">
        <v>1907</v>
      </c>
      <c r="AO233" s="45">
        <v>568055</v>
      </c>
      <c r="AP233" s="46"/>
    </row>
    <row r="234" spans="15:42">
      <c r="AN234" t="s">
        <v>1908</v>
      </c>
      <c r="AO234" s="45">
        <v>556294</v>
      </c>
      <c r="AP234" s="46"/>
    </row>
    <row r="235" spans="15:42">
      <c r="AN235" t="s">
        <v>1909</v>
      </c>
      <c r="AO235" s="45">
        <v>396792</v>
      </c>
      <c r="AP235" s="46"/>
    </row>
    <row r="236" spans="15:42">
      <c r="AN236" t="s">
        <v>1910</v>
      </c>
      <c r="AO236" s="45">
        <v>606957</v>
      </c>
      <c r="AP236" s="46"/>
    </row>
    <row r="237" spans="15:42">
      <c r="AN237" t="s">
        <v>1911</v>
      </c>
      <c r="AO237" s="45">
        <v>572297</v>
      </c>
      <c r="AP237" s="46"/>
    </row>
    <row r="238" spans="15:42">
      <c r="AN238" t="s">
        <v>1912</v>
      </c>
      <c r="AO238" s="45">
        <v>556108</v>
      </c>
      <c r="AP238" s="46"/>
    </row>
    <row r="239" spans="15:42">
      <c r="AN239" t="s">
        <v>1913</v>
      </c>
      <c r="AO239" s="45">
        <v>608486</v>
      </c>
      <c r="AP239" s="46"/>
    </row>
    <row r="240" spans="15:42">
      <c r="AN240" t="s">
        <v>1914</v>
      </c>
      <c r="AO240" s="45">
        <v>572561</v>
      </c>
      <c r="AP240" s="46"/>
    </row>
    <row r="241" spans="15:42">
      <c r="AN241" t="s">
        <v>1915</v>
      </c>
      <c r="AO241" s="45">
        <v>572311</v>
      </c>
      <c r="AP241" s="46"/>
    </row>
    <row r="242" spans="15:42">
      <c r="AN242" t="s">
        <v>1916</v>
      </c>
      <c r="AO242" s="45">
        <v>572310</v>
      </c>
      <c r="AP242" s="46"/>
    </row>
    <row r="243" spans="15:42">
      <c r="AN243" t="s">
        <v>1917</v>
      </c>
      <c r="AO243" s="45">
        <v>572309</v>
      </c>
      <c r="AP243" s="46"/>
    </row>
    <row r="244" spans="15:42">
      <c r="AN244" t="s">
        <v>1918</v>
      </c>
      <c r="AO244" s="45">
        <v>618876</v>
      </c>
      <c r="AP244" s="46"/>
    </row>
    <row r="245" spans="15:42">
      <c r="AN245" t="s">
        <v>1919</v>
      </c>
      <c r="AO245" s="45">
        <v>606834</v>
      </c>
      <c r="AP245" s="46"/>
    </row>
    <row r="246" spans="15:42">
      <c r="AN246" t="s">
        <v>1920</v>
      </c>
      <c r="AO246" s="45">
        <v>619128</v>
      </c>
      <c r="AP246" s="46"/>
    </row>
    <row r="247" spans="15:42">
      <c r="AN247" t="s">
        <v>1921</v>
      </c>
      <c r="AO247" s="45">
        <v>619129</v>
      </c>
      <c r="AP247" s="46"/>
    </row>
    <row r="248" spans="15:42">
      <c r="AN248" t="s">
        <v>1922</v>
      </c>
      <c r="AO248" s="45">
        <v>564294</v>
      </c>
      <c r="AP248" s="46"/>
    </row>
    <row r="249" spans="15:42">
      <c r="AN249" t="s">
        <v>1923</v>
      </c>
      <c r="AO249" s="45">
        <v>555318</v>
      </c>
      <c r="AP249" s="46"/>
    </row>
    <row r="250" spans="15:42">
      <c r="AN250" t="s">
        <v>1924</v>
      </c>
      <c r="AO250" s="45">
        <v>618046</v>
      </c>
      <c r="AP250" s="46"/>
    </row>
    <row r="251" spans="15:42">
      <c r="AN251" t="s">
        <v>1925</v>
      </c>
      <c r="AO251" s="45">
        <v>618045</v>
      </c>
      <c r="AP251" s="46"/>
    </row>
    <row r="252" spans="15:42">
      <c r="AN252" t="s">
        <v>1926</v>
      </c>
      <c r="AO252" s="45">
        <v>557811</v>
      </c>
      <c r="AP252" s="46"/>
    </row>
    <row r="253" spans="15:42">
      <c r="AN253" t="s">
        <v>1927</v>
      </c>
      <c r="AO253" s="45">
        <v>565912</v>
      </c>
      <c r="AP253" s="46"/>
    </row>
    <row r="254" spans="15:42">
      <c r="O254" s="52"/>
      <c r="AN254" t="s">
        <v>1928</v>
      </c>
      <c r="AO254" s="45">
        <v>417709</v>
      </c>
      <c r="AP254" s="46"/>
    </row>
    <row r="255" spans="15:42">
      <c r="AN255" t="s">
        <v>1929</v>
      </c>
      <c r="AO255" s="45">
        <v>479621</v>
      </c>
      <c r="AP255" s="46"/>
    </row>
    <row r="256" spans="15:42">
      <c r="AN256" t="s">
        <v>1930</v>
      </c>
      <c r="AO256" s="45">
        <v>383492</v>
      </c>
      <c r="AP256" s="46"/>
    </row>
    <row r="257" spans="40:42">
      <c r="AN257" t="s">
        <v>1931</v>
      </c>
      <c r="AO257" s="45">
        <v>572960</v>
      </c>
      <c r="AP257" s="46"/>
    </row>
    <row r="258" spans="40:42">
      <c r="AN258" t="s">
        <v>1932</v>
      </c>
      <c r="AO258" s="45">
        <v>572942</v>
      </c>
      <c r="AP258" s="46"/>
    </row>
    <row r="259" spans="40:42">
      <c r="AN259" t="s">
        <v>1933</v>
      </c>
      <c r="AO259" s="45">
        <v>572941</v>
      </c>
      <c r="AP259" s="46"/>
    </row>
    <row r="260" spans="40:42">
      <c r="AN260" t="s">
        <v>1934</v>
      </c>
      <c r="AO260" s="45">
        <v>572943</v>
      </c>
      <c r="AP260" s="46"/>
    </row>
    <row r="261" spans="40:42">
      <c r="AN261" t="s">
        <v>1935</v>
      </c>
      <c r="AO261" s="45">
        <v>83</v>
      </c>
      <c r="AP261" s="46"/>
    </row>
    <row r="262" spans="40:42">
      <c r="AN262" t="s">
        <v>1936</v>
      </c>
      <c r="AO262" s="45">
        <v>569907</v>
      </c>
      <c r="AP262" s="46"/>
    </row>
    <row r="263" spans="40:42">
      <c r="AN263" t="s">
        <v>1937</v>
      </c>
      <c r="AO263" s="45">
        <v>606741</v>
      </c>
      <c r="AP263" s="46"/>
    </row>
    <row r="264" spans="40:42">
      <c r="AN264" t="s">
        <v>1938</v>
      </c>
      <c r="AO264" s="45">
        <v>568152</v>
      </c>
      <c r="AP264" s="46"/>
    </row>
    <row r="265" spans="40:42">
      <c r="AN265" t="s">
        <v>1939</v>
      </c>
      <c r="AO265" s="45">
        <v>240</v>
      </c>
      <c r="AP265" s="46"/>
    </row>
    <row r="266" spans="40:42">
      <c r="AN266" t="s">
        <v>1940</v>
      </c>
      <c r="AO266" s="45">
        <v>615388</v>
      </c>
      <c r="AP266" s="46"/>
    </row>
    <row r="267" spans="40:42">
      <c r="AN267" t="s">
        <v>1941</v>
      </c>
      <c r="AO267" s="45">
        <v>557272</v>
      </c>
      <c r="AP267" s="46"/>
    </row>
    <row r="268" spans="40:42">
      <c r="AN268" t="s">
        <v>1942</v>
      </c>
      <c r="AO268" s="45">
        <v>557750</v>
      </c>
      <c r="AP268" s="46"/>
    </row>
    <row r="269" spans="40:42">
      <c r="AN269" t="s">
        <v>1943</v>
      </c>
      <c r="AO269" s="45">
        <v>557270</v>
      </c>
      <c r="AP269" s="46"/>
    </row>
    <row r="270" spans="40:42">
      <c r="AN270" t="s">
        <v>1944</v>
      </c>
      <c r="AO270" s="45">
        <v>557732</v>
      </c>
      <c r="AP270" s="46"/>
    </row>
    <row r="271" spans="40:42">
      <c r="AN271" t="s">
        <v>1945</v>
      </c>
      <c r="AO271" s="45">
        <v>580175</v>
      </c>
      <c r="AP271" s="46"/>
    </row>
    <row r="272" spans="40:42">
      <c r="AN272" t="s">
        <v>1946</v>
      </c>
      <c r="AO272" s="45">
        <v>580260</v>
      </c>
      <c r="AP272" s="46"/>
    </row>
    <row r="273" spans="40:42">
      <c r="AN273" t="s">
        <v>1947</v>
      </c>
      <c r="AO273" s="45">
        <v>557271</v>
      </c>
      <c r="AP273" s="46"/>
    </row>
    <row r="274" spans="40:42">
      <c r="AN274" t="s">
        <v>1948</v>
      </c>
      <c r="AO274" s="45">
        <v>557269</v>
      </c>
      <c r="AP274" s="46"/>
    </row>
    <row r="275" spans="40:42">
      <c r="AN275" t="s">
        <v>1949</v>
      </c>
      <c r="AO275" s="45">
        <v>568090</v>
      </c>
      <c r="AP275" s="46"/>
    </row>
    <row r="276" spans="40:42">
      <c r="AN276" t="s">
        <v>1950</v>
      </c>
      <c r="AO276" s="45">
        <v>557268</v>
      </c>
      <c r="AP276" s="46"/>
    </row>
    <row r="277" spans="40:42">
      <c r="AN277" t="s">
        <v>1951</v>
      </c>
      <c r="AO277" s="45">
        <v>555386</v>
      </c>
      <c r="AP277" s="46"/>
    </row>
    <row r="278" spans="40:42">
      <c r="AN278" t="s">
        <v>1952</v>
      </c>
      <c r="AO278" s="45">
        <v>565311</v>
      </c>
      <c r="AP278" s="46"/>
    </row>
    <row r="279" spans="40:42">
      <c r="AN279" t="s">
        <v>1953</v>
      </c>
      <c r="AO279" s="45">
        <v>477744</v>
      </c>
      <c r="AP279" s="46"/>
    </row>
    <row r="280" spans="40:42">
      <c r="AN280" t="s">
        <v>1954</v>
      </c>
      <c r="AO280" s="45">
        <v>563492</v>
      </c>
      <c r="AP280" s="46"/>
    </row>
    <row r="281" spans="40:42">
      <c r="AN281" t="s">
        <v>1955</v>
      </c>
      <c r="AO281" s="45">
        <v>563549</v>
      </c>
      <c r="AP281" s="46"/>
    </row>
    <row r="282" spans="40:42">
      <c r="AN282" t="s">
        <v>1956</v>
      </c>
      <c r="AO282" s="45">
        <v>563493</v>
      </c>
      <c r="AP282" s="46"/>
    </row>
    <row r="283" spans="40:42">
      <c r="AN283" t="s">
        <v>1957</v>
      </c>
      <c r="AO283" s="45">
        <v>417800</v>
      </c>
      <c r="AP283" s="46"/>
    </row>
    <row r="284" spans="40:42">
      <c r="AN284" t="s">
        <v>1958</v>
      </c>
      <c r="AO284" s="45">
        <v>545775</v>
      </c>
      <c r="AP284" s="46"/>
    </row>
    <row r="285" spans="40:42">
      <c r="AN285" t="s">
        <v>1959</v>
      </c>
      <c r="AO285" s="45">
        <v>204</v>
      </c>
      <c r="AP285" s="46"/>
    </row>
    <row r="286" spans="40:42">
      <c r="AN286" t="s">
        <v>1960</v>
      </c>
      <c r="AO286" s="45">
        <v>608691</v>
      </c>
      <c r="AP286" s="46"/>
    </row>
    <row r="287" spans="40:42">
      <c r="AN287" t="s">
        <v>1961</v>
      </c>
      <c r="AO287" s="45">
        <v>615994</v>
      </c>
      <c r="AP287" s="46"/>
    </row>
    <row r="288" spans="40:42">
      <c r="AN288" t="s">
        <v>1962</v>
      </c>
      <c r="AO288" s="45">
        <v>573653</v>
      </c>
      <c r="AP288" s="46"/>
    </row>
    <row r="289" spans="40:42">
      <c r="AN289" t="s">
        <v>1963</v>
      </c>
      <c r="AO289" s="45">
        <v>572560</v>
      </c>
      <c r="AP289" s="46"/>
    </row>
    <row r="290" spans="40:42">
      <c r="AN290" t="s">
        <v>1964</v>
      </c>
      <c r="AO290" s="45">
        <v>608311</v>
      </c>
      <c r="AP290" s="46"/>
    </row>
    <row r="291" spans="40:42">
      <c r="AN291" t="s">
        <v>1965</v>
      </c>
      <c r="AO291" s="45">
        <v>611745</v>
      </c>
      <c r="AP291" s="46"/>
    </row>
    <row r="292" spans="40:42">
      <c r="AN292" t="s">
        <v>1966</v>
      </c>
      <c r="AO292" s="45">
        <v>564658</v>
      </c>
      <c r="AP292" s="46"/>
    </row>
    <row r="293" spans="40:42">
      <c r="AN293" t="s">
        <v>1967</v>
      </c>
      <c r="AO293" s="45">
        <v>339087</v>
      </c>
      <c r="AP293" s="46"/>
    </row>
    <row r="294" spans="40:42">
      <c r="AN294" t="s">
        <v>1968</v>
      </c>
      <c r="AO294" s="45">
        <v>572608</v>
      </c>
      <c r="AP294" s="46"/>
    </row>
    <row r="295" spans="40:42">
      <c r="AN295" t="s">
        <v>1969</v>
      </c>
      <c r="AO295" s="45">
        <v>607406</v>
      </c>
      <c r="AP295" s="46"/>
    </row>
    <row r="296" spans="40:42">
      <c r="AN296" t="s">
        <v>1970</v>
      </c>
      <c r="AO296" s="45">
        <v>609071</v>
      </c>
      <c r="AP296" s="46"/>
    </row>
    <row r="297" spans="40:42">
      <c r="AN297" t="s">
        <v>1971</v>
      </c>
      <c r="AO297" s="45">
        <v>99</v>
      </c>
      <c r="AP297" s="46"/>
    </row>
    <row r="298" spans="40:42">
      <c r="AN298" t="s">
        <v>1972</v>
      </c>
      <c r="AO298" s="45">
        <v>208</v>
      </c>
      <c r="AP298" s="46"/>
    </row>
    <row r="299" spans="40:42">
      <c r="AN299" t="s">
        <v>1973</v>
      </c>
      <c r="AO299" s="45">
        <v>556337</v>
      </c>
      <c r="AP299" s="46"/>
    </row>
    <row r="300" spans="40:42">
      <c r="AN300" t="s">
        <v>1974</v>
      </c>
      <c r="AO300" s="45">
        <v>610676</v>
      </c>
      <c r="AP300" s="46"/>
    </row>
    <row r="301" spans="40:42">
      <c r="AN301" t="s">
        <v>1975</v>
      </c>
      <c r="AO301" s="45">
        <v>572616</v>
      </c>
      <c r="AP301" s="46"/>
    </row>
    <row r="302" spans="40:42">
      <c r="AN302" t="s">
        <v>1976</v>
      </c>
      <c r="AO302" s="45">
        <v>569410</v>
      </c>
      <c r="AP302" s="46"/>
    </row>
    <row r="303" spans="40:42">
      <c r="AN303" t="s">
        <v>1977</v>
      </c>
      <c r="AO303" s="45">
        <v>608037</v>
      </c>
      <c r="AP303" s="46"/>
    </row>
    <row r="304" spans="40:42">
      <c r="AN304" t="s">
        <v>1978</v>
      </c>
      <c r="AO304" s="45">
        <v>608084</v>
      </c>
      <c r="AP304" s="46"/>
    </row>
    <row r="305" spans="40:42">
      <c r="AN305" t="s">
        <v>1979</v>
      </c>
      <c r="AO305" s="45">
        <v>75</v>
      </c>
      <c r="AP305" s="46"/>
    </row>
    <row r="306" spans="40:42">
      <c r="AN306" t="s">
        <v>1980</v>
      </c>
      <c r="AO306" s="45">
        <v>304</v>
      </c>
      <c r="AP306" s="46"/>
    </row>
    <row r="307" spans="40:42">
      <c r="AN307" t="s">
        <v>1981</v>
      </c>
      <c r="AO307" s="45">
        <v>486276</v>
      </c>
      <c r="AP307" s="46"/>
    </row>
    <row r="308" spans="40:42">
      <c r="AN308" t="s">
        <v>1982</v>
      </c>
      <c r="AO308" s="45">
        <v>609308</v>
      </c>
      <c r="AP308" s="46"/>
    </row>
    <row r="309" spans="40:42">
      <c r="AN309" t="s">
        <v>1983</v>
      </c>
      <c r="AO309" s="45">
        <v>555389</v>
      </c>
      <c r="AP309" s="46"/>
    </row>
    <row r="310" spans="40:42">
      <c r="AN310" t="s">
        <v>1984</v>
      </c>
      <c r="AO310" s="45">
        <v>545795</v>
      </c>
      <c r="AP310" s="46"/>
    </row>
    <row r="311" spans="40:42">
      <c r="AN311" t="s">
        <v>1985</v>
      </c>
      <c r="AO311" s="45">
        <v>545796</v>
      </c>
      <c r="AP311" s="46"/>
    </row>
    <row r="312" spans="40:42">
      <c r="AN312" t="s">
        <v>1986</v>
      </c>
      <c r="AO312" s="45">
        <v>556263</v>
      </c>
      <c r="AP312" s="46"/>
    </row>
    <row r="313" spans="40:42">
      <c r="AN313" t="s">
        <v>1987</v>
      </c>
      <c r="AO313" s="45">
        <v>612583</v>
      </c>
      <c r="AP313" s="46"/>
    </row>
    <row r="314" spans="40:42">
      <c r="AN314" t="s">
        <v>1988</v>
      </c>
      <c r="AO314" s="45">
        <v>612584</v>
      </c>
      <c r="AP314" s="46"/>
    </row>
    <row r="315" spans="40:42">
      <c r="AN315" t="s">
        <v>1989</v>
      </c>
      <c r="AO315" s="45">
        <v>563582</v>
      </c>
      <c r="AP315" s="46"/>
    </row>
    <row r="316" spans="40:42">
      <c r="AN316" t="s">
        <v>1990</v>
      </c>
      <c r="AO316" s="45">
        <v>615182</v>
      </c>
      <c r="AP316" s="46"/>
    </row>
    <row r="317" spans="40:42">
      <c r="AN317" t="s">
        <v>1991</v>
      </c>
      <c r="AO317" s="45">
        <v>564297</v>
      </c>
      <c r="AP317" s="46"/>
    </row>
    <row r="318" spans="40:42">
      <c r="AN318" t="s">
        <v>1992</v>
      </c>
      <c r="AO318" s="45">
        <v>563620</v>
      </c>
      <c r="AP318" s="46"/>
    </row>
    <row r="319" spans="40:42">
      <c r="AN319" t="s">
        <v>1993</v>
      </c>
      <c r="AO319" s="45">
        <v>563619</v>
      </c>
      <c r="AP319" s="46"/>
    </row>
    <row r="320" spans="40:42">
      <c r="AN320" t="s">
        <v>1994</v>
      </c>
      <c r="AO320" s="45">
        <v>609453</v>
      </c>
      <c r="AP320" s="46"/>
    </row>
    <row r="321" spans="40:42">
      <c r="AN321" t="s">
        <v>1995</v>
      </c>
      <c r="AO321" s="45">
        <v>563547</v>
      </c>
      <c r="AP321" s="46"/>
    </row>
    <row r="322" spans="40:42">
      <c r="AN322" t="s">
        <v>1996</v>
      </c>
      <c r="AO322" s="45">
        <v>610675</v>
      </c>
      <c r="AP322" s="46"/>
    </row>
    <row r="323" spans="40:42">
      <c r="AN323" t="s">
        <v>1997</v>
      </c>
      <c r="AO323" s="45">
        <v>96261</v>
      </c>
      <c r="AP323" s="46"/>
    </row>
    <row r="324" spans="40:42">
      <c r="AN324" t="s">
        <v>1998</v>
      </c>
      <c r="AO324" s="45">
        <v>562312</v>
      </c>
      <c r="AP324" s="46"/>
    </row>
    <row r="325" spans="40:42">
      <c r="AN325" t="s">
        <v>1999</v>
      </c>
      <c r="AO325" s="45">
        <v>606761</v>
      </c>
      <c r="AP325" s="46"/>
    </row>
    <row r="326" spans="40:42">
      <c r="AN326" t="s">
        <v>2000</v>
      </c>
      <c r="AO326" s="45">
        <v>417808</v>
      </c>
      <c r="AP326" s="46"/>
    </row>
    <row r="327" spans="40:42">
      <c r="AN327" t="s">
        <v>2001</v>
      </c>
      <c r="AO327" s="45">
        <v>608659</v>
      </c>
      <c r="AP327" s="46"/>
    </row>
    <row r="328" spans="40:42">
      <c r="AN328" t="s">
        <v>2002</v>
      </c>
      <c r="AO328" s="45">
        <v>617898</v>
      </c>
      <c r="AP328" s="46"/>
    </row>
    <row r="329" spans="40:42">
      <c r="AN329" t="s">
        <v>2003</v>
      </c>
      <c r="AO329" s="45">
        <v>565871</v>
      </c>
      <c r="AP329" s="46"/>
    </row>
    <row r="330" spans="40:42">
      <c r="AN330" t="s">
        <v>2004</v>
      </c>
      <c r="AO330" s="45">
        <v>565873</v>
      </c>
      <c r="AP330" s="46"/>
    </row>
    <row r="331" spans="40:42">
      <c r="AN331" t="s">
        <v>2005</v>
      </c>
      <c r="AO331" s="45">
        <v>565899</v>
      </c>
      <c r="AP331" s="46"/>
    </row>
    <row r="332" spans="40:42">
      <c r="AN332" t="s">
        <v>2006</v>
      </c>
      <c r="AO332" s="45">
        <v>565872</v>
      </c>
      <c r="AP332" s="46"/>
    </row>
    <row r="333" spans="40:42">
      <c r="AN333" t="s">
        <v>2007</v>
      </c>
      <c r="AO333" s="45">
        <v>565874</v>
      </c>
      <c r="AP333" s="46"/>
    </row>
    <row r="334" spans="40:42">
      <c r="AN334" t="s">
        <v>2008</v>
      </c>
      <c r="AO334" s="45">
        <v>610677</v>
      </c>
      <c r="AP334" s="46"/>
    </row>
    <row r="335" spans="40:42">
      <c r="AN335" t="s">
        <v>2009</v>
      </c>
      <c r="AO335" s="45">
        <v>567043</v>
      </c>
      <c r="AP335" s="46"/>
    </row>
    <row r="336" spans="40:42">
      <c r="AN336" t="s">
        <v>2010</v>
      </c>
      <c r="AO336" s="45">
        <v>567627</v>
      </c>
      <c r="AP336" s="46"/>
    </row>
    <row r="337" spans="40:42">
      <c r="AN337" t="s">
        <v>2011</v>
      </c>
      <c r="AO337" s="45">
        <v>567628</v>
      </c>
      <c r="AP337" s="46"/>
    </row>
    <row r="338" spans="40:42">
      <c r="AN338" t="s">
        <v>2012</v>
      </c>
      <c r="AO338" s="45">
        <v>567629</v>
      </c>
      <c r="AP338" s="46"/>
    </row>
    <row r="339" spans="40:42">
      <c r="AN339" t="s">
        <v>2013</v>
      </c>
      <c r="AO339" s="45">
        <v>417710</v>
      </c>
      <c r="AP339" s="46"/>
    </row>
    <row r="340" spans="40:42">
      <c r="AN340" t="s">
        <v>2014</v>
      </c>
      <c r="AO340" s="45">
        <v>615784</v>
      </c>
      <c r="AP340" s="46"/>
    </row>
    <row r="341" spans="40:42">
      <c r="AN341" t="s">
        <v>2015</v>
      </c>
      <c r="AO341" s="45">
        <v>607796</v>
      </c>
      <c r="AP341" s="46"/>
    </row>
    <row r="342" spans="40:42">
      <c r="AN342" t="s">
        <v>2016</v>
      </c>
      <c r="AO342" s="45">
        <v>608429</v>
      </c>
      <c r="AP342" s="46"/>
    </row>
    <row r="343" spans="40:42">
      <c r="AN343" t="s">
        <v>2017</v>
      </c>
      <c r="AO343" s="45">
        <v>477765</v>
      </c>
      <c r="AP343" s="46"/>
    </row>
    <row r="344" spans="40:42">
      <c r="AN344" t="s">
        <v>2018</v>
      </c>
      <c r="AO344" s="45">
        <v>608825</v>
      </c>
      <c r="AP344" s="46"/>
    </row>
    <row r="345" spans="40:42">
      <c r="AN345" t="s">
        <v>2019</v>
      </c>
      <c r="AO345" s="45">
        <v>606789</v>
      </c>
      <c r="AP345" s="46"/>
    </row>
    <row r="346" spans="40:42">
      <c r="AN346" t="s">
        <v>2020</v>
      </c>
      <c r="AO346" s="45">
        <v>617880</v>
      </c>
      <c r="AP346" s="46"/>
    </row>
    <row r="347" spans="40:42">
      <c r="AN347" t="s">
        <v>2021</v>
      </c>
      <c r="AO347" s="45">
        <v>608464</v>
      </c>
      <c r="AP347" s="46"/>
    </row>
    <row r="348" spans="40:42">
      <c r="AN348" t="s">
        <v>2022</v>
      </c>
      <c r="AO348" s="45">
        <v>568108</v>
      </c>
      <c r="AP348" s="46"/>
    </row>
    <row r="349" spans="40:42">
      <c r="AN349" t="s">
        <v>2023</v>
      </c>
      <c r="AO349" s="45">
        <v>567474</v>
      </c>
      <c r="AP349" s="46"/>
    </row>
    <row r="350" spans="40:42">
      <c r="AN350" t="s">
        <v>2024</v>
      </c>
      <c r="AO350" s="45">
        <v>571279</v>
      </c>
      <c r="AP350" s="46"/>
    </row>
    <row r="351" spans="40:42">
      <c r="AN351" t="s">
        <v>2025</v>
      </c>
      <c r="AO351" s="45">
        <v>553652</v>
      </c>
      <c r="AP351" s="46"/>
    </row>
    <row r="352" spans="40:42">
      <c r="AN352" t="s">
        <v>2026</v>
      </c>
      <c r="AO352" s="45">
        <v>563529</v>
      </c>
      <c r="AP352" s="46"/>
    </row>
    <row r="353" spans="40:42">
      <c r="AN353" t="s">
        <v>2027</v>
      </c>
      <c r="AO353" s="45">
        <v>572970</v>
      </c>
      <c r="AP353" s="46"/>
    </row>
    <row r="354" spans="40:42">
      <c r="AN354" t="s">
        <v>2028</v>
      </c>
      <c r="AO354" s="45">
        <v>609297</v>
      </c>
      <c r="AP354" s="46"/>
    </row>
    <row r="355" spans="40:42">
      <c r="AN355" t="s">
        <v>2029</v>
      </c>
      <c r="AO355" s="45">
        <v>479637</v>
      </c>
      <c r="AP355" s="46"/>
    </row>
    <row r="356" spans="40:42">
      <c r="AN356" t="s">
        <v>2030</v>
      </c>
      <c r="AO356" s="45">
        <v>563265</v>
      </c>
      <c r="AP356" s="46"/>
    </row>
    <row r="357" spans="40:42">
      <c r="AN357" t="s">
        <v>2031</v>
      </c>
      <c r="AO357" s="45">
        <v>556230</v>
      </c>
      <c r="AP357" s="46"/>
    </row>
    <row r="358" spans="40:42">
      <c r="AN358" t="s">
        <v>2032</v>
      </c>
      <c r="AO358" s="45">
        <v>563546</v>
      </c>
      <c r="AP358" s="46"/>
    </row>
    <row r="359" spans="40:42">
      <c r="AN359" t="s">
        <v>2033</v>
      </c>
      <c r="AO359" s="45">
        <v>555679</v>
      </c>
      <c r="AP359" s="46"/>
    </row>
    <row r="360" spans="40:42">
      <c r="AN360" t="s">
        <v>2034</v>
      </c>
      <c r="AO360" s="45">
        <v>555266</v>
      </c>
      <c r="AP360" s="46"/>
    </row>
    <row r="361" spans="40:42">
      <c r="AN361" t="s">
        <v>2035</v>
      </c>
      <c r="AO361" s="45">
        <v>572337</v>
      </c>
      <c r="AP361" s="46"/>
    </row>
    <row r="362" spans="40:42">
      <c r="AN362" t="s">
        <v>2036</v>
      </c>
      <c r="AO362" s="45">
        <v>238</v>
      </c>
      <c r="AP362" s="46"/>
    </row>
    <row r="363" spans="40:42">
      <c r="AN363" t="s">
        <v>2037</v>
      </c>
      <c r="AO363" s="45">
        <v>480430</v>
      </c>
      <c r="AP363" s="46"/>
    </row>
    <row r="364" spans="40:42">
      <c r="AN364" t="s">
        <v>2038</v>
      </c>
      <c r="AO364" s="45">
        <v>607219</v>
      </c>
      <c r="AP364" s="46"/>
    </row>
    <row r="365" spans="40:42">
      <c r="AN365" t="s">
        <v>2039</v>
      </c>
      <c r="AO365" s="45">
        <v>607218</v>
      </c>
      <c r="AP365" s="46"/>
    </row>
    <row r="366" spans="40:42">
      <c r="AN366" t="s">
        <v>2040</v>
      </c>
      <c r="AO366" s="45">
        <v>617921</v>
      </c>
      <c r="AP366" s="46"/>
    </row>
    <row r="367" spans="40:42">
      <c r="AN367" t="s">
        <v>2041</v>
      </c>
      <c r="AO367" s="45">
        <v>339079</v>
      </c>
      <c r="AP367" s="46"/>
    </row>
    <row r="368" spans="40:42">
      <c r="AN368" t="s">
        <v>2042</v>
      </c>
      <c r="AO368" s="45">
        <v>566511</v>
      </c>
      <c r="AP368" s="46"/>
    </row>
    <row r="369" spans="40:42">
      <c r="AN369" t="s">
        <v>2043</v>
      </c>
      <c r="AO369" s="45">
        <v>570016</v>
      </c>
      <c r="AP369" s="46"/>
    </row>
    <row r="370" spans="40:42">
      <c r="AN370" t="s">
        <v>2044</v>
      </c>
      <c r="AO370" s="45">
        <v>563783</v>
      </c>
      <c r="AP370" s="46"/>
    </row>
    <row r="371" spans="40:42">
      <c r="AN371" t="s">
        <v>2045</v>
      </c>
      <c r="AO371" s="45">
        <v>567798</v>
      </c>
      <c r="AP371" s="46"/>
    </row>
    <row r="372" spans="40:42">
      <c r="AN372" t="s">
        <v>2046</v>
      </c>
      <c r="AO372" s="45">
        <v>555302</v>
      </c>
      <c r="AP372" s="46"/>
    </row>
    <row r="373" spans="40:42">
      <c r="AN373" t="s">
        <v>2047</v>
      </c>
      <c r="AO373" s="45">
        <v>608349</v>
      </c>
      <c r="AP373" s="46"/>
    </row>
    <row r="374" spans="40:42">
      <c r="AN374" t="s">
        <v>2048</v>
      </c>
      <c r="AO374" s="45">
        <v>565875</v>
      </c>
      <c r="AP374" s="46"/>
    </row>
    <row r="375" spans="40:42">
      <c r="AN375" t="s">
        <v>2049</v>
      </c>
      <c r="AO375" s="45">
        <v>564024</v>
      </c>
      <c r="AP375" s="46"/>
    </row>
    <row r="376" spans="40:42">
      <c r="AN376" t="s">
        <v>2050</v>
      </c>
      <c r="AO376" s="45">
        <v>545801</v>
      </c>
      <c r="AP376" s="46"/>
    </row>
    <row r="377" spans="40:42">
      <c r="AN377" t="s">
        <v>2051</v>
      </c>
      <c r="AO377" s="45">
        <v>545959</v>
      </c>
      <c r="AP377" s="46"/>
    </row>
    <row r="378" spans="40:42">
      <c r="AN378" t="s">
        <v>2052</v>
      </c>
      <c r="AO378" s="45">
        <v>572629</v>
      </c>
      <c r="AP378" s="46"/>
    </row>
    <row r="379" spans="40:42">
      <c r="AN379" t="s">
        <v>2053</v>
      </c>
      <c r="AO379" s="45">
        <v>339086</v>
      </c>
      <c r="AP379" s="46"/>
    </row>
    <row r="380" spans="40:42">
      <c r="AN380" t="s">
        <v>2054</v>
      </c>
      <c r="AO380" s="45">
        <v>616009</v>
      </c>
      <c r="AP380" s="46"/>
    </row>
    <row r="381" spans="40:42">
      <c r="AN381" t="s">
        <v>2055</v>
      </c>
      <c r="AO381" s="45">
        <v>615997</v>
      </c>
      <c r="AP381" s="46"/>
    </row>
    <row r="382" spans="40:42">
      <c r="AN382" t="s">
        <v>2056</v>
      </c>
      <c r="AO382" s="45">
        <v>567908</v>
      </c>
      <c r="AP382" s="46"/>
    </row>
    <row r="383" spans="40:42">
      <c r="AN383" t="s">
        <v>2057</v>
      </c>
      <c r="AO383" s="45">
        <v>477763</v>
      </c>
      <c r="AP383" s="46"/>
    </row>
    <row r="384" spans="40:42">
      <c r="AN384" t="s">
        <v>2058</v>
      </c>
      <c r="AO384" s="45">
        <v>618922</v>
      </c>
      <c r="AP384" s="46"/>
    </row>
    <row r="385" spans="40:42">
      <c r="AN385" t="s">
        <v>2059</v>
      </c>
      <c r="AO385" s="45">
        <v>435450</v>
      </c>
      <c r="AP385" s="46"/>
    </row>
    <row r="386" spans="40:42">
      <c r="AN386" t="s">
        <v>2060</v>
      </c>
      <c r="AO386" s="45">
        <v>451503</v>
      </c>
      <c r="AP386" s="46"/>
    </row>
    <row r="387" spans="40:42">
      <c r="AN387" t="s">
        <v>2061</v>
      </c>
      <c r="AO387" s="45">
        <v>607921</v>
      </c>
      <c r="AP387" s="46"/>
    </row>
    <row r="388" spans="40:42">
      <c r="AN388" t="s">
        <v>2062</v>
      </c>
      <c r="AO388" s="45">
        <v>569671</v>
      </c>
      <c r="AP388" s="46"/>
    </row>
    <row r="389" spans="40:42">
      <c r="AN389" t="s">
        <v>2063</v>
      </c>
      <c r="AO389" s="45">
        <v>564023</v>
      </c>
      <c r="AP389" s="46"/>
    </row>
    <row r="390" spans="40:42">
      <c r="AN390" t="s">
        <v>2064</v>
      </c>
      <c r="AO390" s="45">
        <v>572563</v>
      </c>
      <c r="AP390" s="46"/>
    </row>
    <row r="391" spans="40:42">
      <c r="AN391" t="s">
        <v>2065</v>
      </c>
      <c r="AO391" s="45">
        <v>556470</v>
      </c>
      <c r="AP391" s="46"/>
    </row>
    <row r="392" spans="40:42">
      <c r="AN392" t="s">
        <v>2066</v>
      </c>
      <c r="AO392" s="45">
        <v>555254</v>
      </c>
      <c r="AP392" s="46"/>
    </row>
    <row r="393" spans="40:42">
      <c r="AN393" t="s">
        <v>2067</v>
      </c>
      <c r="AO393" s="45">
        <v>555247</v>
      </c>
      <c r="AP393" s="46"/>
    </row>
    <row r="394" spans="40:42">
      <c r="AN394" t="s">
        <v>2068</v>
      </c>
      <c r="AO394" s="45">
        <v>555251</v>
      </c>
      <c r="AP394" s="46"/>
    </row>
    <row r="395" spans="40:42">
      <c r="AN395" t="s">
        <v>2069</v>
      </c>
      <c r="AO395" s="45">
        <v>568177</v>
      </c>
      <c r="AP395" s="46"/>
    </row>
    <row r="396" spans="40:42">
      <c r="AN396" t="s">
        <v>2070</v>
      </c>
      <c r="AO396" s="45">
        <v>555238</v>
      </c>
      <c r="AP396" s="46"/>
    </row>
    <row r="397" spans="40:42">
      <c r="AN397" t="s">
        <v>2071</v>
      </c>
      <c r="AO397" s="45">
        <v>497143</v>
      </c>
      <c r="AP397" s="46"/>
    </row>
    <row r="398" spans="40:42">
      <c r="AN398" t="s">
        <v>2072</v>
      </c>
      <c r="AO398" s="45">
        <v>607654</v>
      </c>
      <c r="AP398" s="46"/>
    </row>
    <row r="399" spans="40:42">
      <c r="AN399" t="s">
        <v>2073</v>
      </c>
      <c r="AO399" s="45">
        <v>572156</v>
      </c>
      <c r="AP399" s="46"/>
    </row>
    <row r="400" spans="40:42">
      <c r="AN400" t="s">
        <v>2074</v>
      </c>
      <c r="AO400" s="45">
        <v>563889</v>
      </c>
      <c r="AP400" s="46"/>
    </row>
    <row r="401" spans="40:42">
      <c r="AN401" t="s">
        <v>2075</v>
      </c>
      <c r="AO401" s="45">
        <v>564021</v>
      </c>
      <c r="AP401" s="46"/>
    </row>
    <row r="402" spans="40:42">
      <c r="AN402" t="s">
        <v>2076</v>
      </c>
      <c r="AO402" s="45">
        <v>563876</v>
      </c>
      <c r="AP402" s="46"/>
    </row>
    <row r="403" spans="40:42">
      <c r="AN403" t="s">
        <v>2077</v>
      </c>
      <c r="AO403" s="45">
        <v>608313</v>
      </c>
      <c r="AP403" s="46"/>
    </row>
    <row r="404" spans="40:42">
      <c r="AN404" t="s">
        <v>2078</v>
      </c>
      <c r="AO404" s="45">
        <v>616898</v>
      </c>
      <c r="AP404" s="46"/>
    </row>
    <row r="405" spans="40:42">
      <c r="AN405" t="s">
        <v>2079</v>
      </c>
      <c r="AO405" s="45">
        <v>492103</v>
      </c>
      <c r="AP405" s="46"/>
    </row>
    <row r="406" spans="40:42">
      <c r="AN406" t="s">
        <v>2080</v>
      </c>
      <c r="AO406" s="45">
        <v>494556</v>
      </c>
      <c r="AP406" s="46"/>
    </row>
    <row r="407" spans="40:42">
      <c r="AN407" t="s">
        <v>2081</v>
      </c>
      <c r="AO407" s="45">
        <v>492105</v>
      </c>
      <c r="AP407" s="46"/>
    </row>
    <row r="408" spans="40:42">
      <c r="AN408" t="s">
        <v>2082</v>
      </c>
      <c r="AO408" s="45">
        <v>492104</v>
      </c>
      <c r="AP408" s="46"/>
    </row>
    <row r="409" spans="40:42">
      <c r="AN409" t="s">
        <v>2083</v>
      </c>
      <c r="AO409" s="45">
        <v>492101</v>
      </c>
      <c r="AP409" s="46"/>
    </row>
    <row r="410" spans="40:42">
      <c r="AN410" t="s">
        <v>2084</v>
      </c>
      <c r="AO410" s="45">
        <v>492102</v>
      </c>
      <c r="AP410" s="46"/>
    </row>
    <row r="411" spans="40:42">
      <c r="AN411" t="s">
        <v>2085</v>
      </c>
      <c r="AO411" s="45">
        <v>565928</v>
      </c>
      <c r="AP411" s="46"/>
    </row>
    <row r="412" spans="40:42">
      <c r="AN412" t="s">
        <v>2086</v>
      </c>
      <c r="AO412" s="45">
        <v>555784</v>
      </c>
      <c r="AP412" s="46"/>
    </row>
    <row r="413" spans="40:42">
      <c r="AN413" t="s">
        <v>2087</v>
      </c>
      <c r="AO413" s="45">
        <v>459300</v>
      </c>
      <c r="AP413" s="46"/>
    </row>
    <row r="414" spans="40:42">
      <c r="AN414" t="s">
        <v>2088</v>
      </c>
      <c r="AO414" s="45">
        <v>553634</v>
      </c>
      <c r="AP414" s="46"/>
    </row>
    <row r="415" spans="40:42">
      <c r="AN415" t="s">
        <v>2089</v>
      </c>
      <c r="AO415" s="45">
        <v>607770</v>
      </c>
      <c r="AP415" s="46"/>
    </row>
    <row r="416" spans="40:42">
      <c r="AN416" t="s">
        <v>2090</v>
      </c>
      <c r="AO416" s="45">
        <v>564026</v>
      </c>
      <c r="AP416" s="46"/>
    </row>
    <row r="417" spans="40:42">
      <c r="AN417" t="s">
        <v>2091</v>
      </c>
      <c r="AO417" s="45">
        <v>234</v>
      </c>
      <c r="AP417" s="46"/>
    </row>
    <row r="418" spans="40:42">
      <c r="AN418" t="s">
        <v>2092</v>
      </c>
      <c r="AO418" s="45">
        <v>609626</v>
      </c>
      <c r="AP418" s="46"/>
    </row>
    <row r="419" spans="40:42">
      <c r="AN419" t="s">
        <v>2093</v>
      </c>
      <c r="AO419" s="45">
        <v>572558</v>
      </c>
      <c r="AP419" s="46"/>
    </row>
    <row r="420" spans="40:42">
      <c r="AN420" t="s">
        <v>2094</v>
      </c>
      <c r="AO420" s="45">
        <v>617108</v>
      </c>
      <c r="AP420" s="46"/>
    </row>
    <row r="421" spans="40:42">
      <c r="AN421" t="s">
        <v>2095</v>
      </c>
      <c r="AO421" s="45">
        <v>556364</v>
      </c>
      <c r="AP421" s="46"/>
    </row>
    <row r="422" spans="40:42">
      <c r="AN422" t="s">
        <v>2096</v>
      </c>
      <c r="AO422" s="45">
        <v>615564</v>
      </c>
      <c r="AP422" s="46"/>
    </row>
    <row r="423" spans="40:42">
      <c r="AN423" t="s">
        <v>2097</v>
      </c>
      <c r="AO423" s="45">
        <v>611906</v>
      </c>
      <c r="AP423" s="46"/>
    </row>
    <row r="424" spans="40:42">
      <c r="AN424" t="s">
        <v>2098</v>
      </c>
      <c r="AO424" s="45">
        <v>556757</v>
      </c>
      <c r="AP424" s="46"/>
    </row>
    <row r="425" spans="40:42">
      <c r="AN425" t="s">
        <v>2099</v>
      </c>
      <c r="AO425" s="45">
        <v>136260</v>
      </c>
      <c r="AP425" s="46"/>
    </row>
    <row r="426" spans="40:42">
      <c r="AN426" t="s">
        <v>2100</v>
      </c>
      <c r="AO426" s="45">
        <v>607414</v>
      </c>
      <c r="AP426" s="46"/>
    </row>
    <row r="427" spans="40:42">
      <c r="AN427" t="s">
        <v>2101</v>
      </c>
      <c r="AO427" s="45">
        <v>609335</v>
      </c>
      <c r="AP427" s="46"/>
    </row>
    <row r="428" spans="40:42">
      <c r="AN428" t="s">
        <v>2102</v>
      </c>
      <c r="AO428" s="45">
        <v>607558</v>
      </c>
      <c r="AP428" s="46"/>
    </row>
    <row r="429" spans="40:42">
      <c r="AN429" t="s">
        <v>2103</v>
      </c>
      <c r="AO429" s="45">
        <v>617825</v>
      </c>
      <c r="AP429" s="46"/>
    </row>
    <row r="430" spans="40:42">
      <c r="AN430" t="s">
        <v>2104</v>
      </c>
      <c r="AO430" s="45">
        <v>607557</v>
      </c>
      <c r="AP430" s="46"/>
    </row>
    <row r="431" spans="40:42">
      <c r="AN431" t="s">
        <v>2105</v>
      </c>
      <c r="AO431" s="45">
        <v>580169</v>
      </c>
      <c r="AP431" s="46"/>
    </row>
    <row r="432" spans="40:42">
      <c r="AN432" t="s">
        <v>2106</v>
      </c>
      <c r="AO432" s="45">
        <v>480400</v>
      </c>
      <c r="AP432" s="46"/>
    </row>
    <row r="433" spans="40:42">
      <c r="AN433" t="s">
        <v>2107</v>
      </c>
      <c r="AO433" s="45">
        <v>567263</v>
      </c>
      <c r="AP433" s="46"/>
    </row>
    <row r="434" spans="40:42">
      <c r="AN434" t="s">
        <v>2108</v>
      </c>
      <c r="AO434" s="45">
        <v>110</v>
      </c>
      <c r="AP434" s="46"/>
    </row>
    <row r="435" spans="40:42">
      <c r="AN435" t="s">
        <v>2109</v>
      </c>
      <c r="AO435" s="45">
        <v>616869</v>
      </c>
      <c r="AP435" s="46"/>
    </row>
    <row r="436" spans="40:42">
      <c r="AN436" t="s">
        <v>2110</v>
      </c>
      <c r="AO436" s="45">
        <v>584936</v>
      </c>
      <c r="AP436" s="46"/>
    </row>
    <row r="437" spans="40:42">
      <c r="AN437" t="s">
        <v>2111</v>
      </c>
      <c r="AO437" s="45">
        <v>567475</v>
      </c>
      <c r="AP437" s="46"/>
    </row>
    <row r="438" spans="40:42">
      <c r="AN438" t="s">
        <v>2112</v>
      </c>
      <c r="AO438" s="45">
        <v>568045</v>
      </c>
      <c r="AP438" s="46"/>
    </row>
    <row r="439" spans="40:42">
      <c r="AN439" t="s">
        <v>2113</v>
      </c>
      <c r="AO439" s="45">
        <v>617156</v>
      </c>
      <c r="AP439" s="46"/>
    </row>
    <row r="440" spans="40:42">
      <c r="AN440" t="s">
        <v>2114</v>
      </c>
      <c r="AO440" s="45">
        <v>568044</v>
      </c>
      <c r="AP440" s="46"/>
    </row>
    <row r="441" spans="40:42">
      <c r="AN441" t="s">
        <v>2115</v>
      </c>
      <c r="AO441" s="45">
        <v>617579</v>
      </c>
      <c r="AP441" s="46"/>
    </row>
    <row r="442" spans="40:42">
      <c r="AN442" t="s">
        <v>2116</v>
      </c>
      <c r="AO442" s="45">
        <v>563321</v>
      </c>
      <c r="AP442" s="46"/>
    </row>
    <row r="443" spans="40:42">
      <c r="AN443" t="s">
        <v>2117</v>
      </c>
      <c r="AO443" s="45">
        <v>563322</v>
      </c>
      <c r="AP443" s="46"/>
    </row>
    <row r="444" spans="40:42">
      <c r="AN444" t="s">
        <v>2118</v>
      </c>
      <c r="AO444" s="45">
        <v>611868</v>
      </c>
      <c r="AP444" s="46"/>
    </row>
    <row r="445" spans="40:42">
      <c r="AN445" t="s">
        <v>2119</v>
      </c>
      <c r="AO445" s="45">
        <v>611867</v>
      </c>
      <c r="AP445" s="46"/>
    </row>
    <row r="446" spans="40:42">
      <c r="AN446" t="s">
        <v>2120</v>
      </c>
      <c r="AO446" s="45">
        <v>563320</v>
      </c>
      <c r="AP446" s="46"/>
    </row>
    <row r="447" spans="40:42">
      <c r="AN447" t="s">
        <v>2121</v>
      </c>
      <c r="AO447" s="45">
        <v>571283</v>
      </c>
      <c r="AP447" s="46"/>
    </row>
    <row r="448" spans="40:42">
      <c r="AN448" t="s">
        <v>2122</v>
      </c>
      <c r="AO448" s="45">
        <v>570015</v>
      </c>
      <c r="AP448" s="46"/>
    </row>
    <row r="449" spans="40:42">
      <c r="AN449" t="s">
        <v>2123</v>
      </c>
      <c r="AO449" s="45">
        <v>617053</v>
      </c>
      <c r="AP449" s="46"/>
    </row>
    <row r="450" spans="40:42">
      <c r="AN450" t="s">
        <v>2124</v>
      </c>
      <c r="AO450" s="45">
        <v>555259</v>
      </c>
      <c r="AP450" s="46"/>
    </row>
    <row r="451" spans="40:42">
      <c r="AN451" t="s">
        <v>2125</v>
      </c>
      <c r="AO451" s="45">
        <v>486282</v>
      </c>
      <c r="AP451" s="46"/>
    </row>
    <row r="452" spans="40:42">
      <c r="AN452" t="s">
        <v>2126</v>
      </c>
      <c r="AO452" s="45">
        <v>556233</v>
      </c>
      <c r="AP452" s="46"/>
    </row>
    <row r="453" spans="40:42">
      <c r="AN453" t="s">
        <v>2127</v>
      </c>
      <c r="AO453" s="45">
        <v>557234</v>
      </c>
      <c r="AP453" s="46"/>
    </row>
    <row r="454" spans="40:42">
      <c r="AN454" t="s">
        <v>2128</v>
      </c>
      <c r="AO454" s="45">
        <v>417797</v>
      </c>
      <c r="AP454" s="46"/>
    </row>
    <row r="455" spans="40:42">
      <c r="AN455" t="s">
        <v>2129</v>
      </c>
      <c r="AO455" s="45">
        <v>545791</v>
      </c>
      <c r="AP455" s="46"/>
    </row>
    <row r="456" spans="40:42">
      <c r="AN456" t="s">
        <v>2130</v>
      </c>
      <c r="AO456" s="45">
        <v>545792</v>
      </c>
      <c r="AP456" s="46"/>
    </row>
    <row r="457" spans="40:42">
      <c r="AN457" t="s">
        <v>2131</v>
      </c>
      <c r="AO457" s="45">
        <v>545793</v>
      </c>
      <c r="AP457" s="46"/>
    </row>
    <row r="458" spans="40:42">
      <c r="AN458" t="s">
        <v>2132</v>
      </c>
      <c r="AO458" s="45">
        <v>545784</v>
      </c>
      <c r="AP458" s="46"/>
    </row>
    <row r="459" spans="40:42">
      <c r="AN459" t="s">
        <v>2133</v>
      </c>
      <c r="AO459" s="45">
        <v>568123</v>
      </c>
      <c r="AP459" s="46"/>
    </row>
    <row r="460" spans="40:42">
      <c r="AN460" t="s">
        <v>2134</v>
      </c>
      <c r="AO460" s="45">
        <v>479642</v>
      </c>
      <c r="AP460" s="46"/>
    </row>
    <row r="461" spans="40:42">
      <c r="AN461" t="s">
        <v>2135</v>
      </c>
      <c r="AO461" s="45">
        <v>615180</v>
      </c>
      <c r="AP461" s="46"/>
    </row>
    <row r="462" spans="40:42">
      <c r="AN462" t="s">
        <v>2136</v>
      </c>
      <c r="AO462" s="45">
        <v>615181</v>
      </c>
      <c r="AP462" s="46"/>
    </row>
    <row r="463" spans="40:42">
      <c r="AN463" t="s">
        <v>2137</v>
      </c>
      <c r="AO463" s="45">
        <v>556143</v>
      </c>
      <c r="AP463" s="46"/>
    </row>
    <row r="464" spans="40:42">
      <c r="AN464" t="s">
        <v>2138</v>
      </c>
      <c r="AO464" s="45">
        <v>607515</v>
      </c>
      <c r="AP464" s="46"/>
    </row>
    <row r="465" spans="40:42">
      <c r="AN465" t="s">
        <v>2139</v>
      </c>
      <c r="AO465" s="45">
        <v>556129</v>
      </c>
      <c r="AP465" s="46"/>
    </row>
    <row r="466" spans="40:42">
      <c r="AN466" t="s">
        <v>2140</v>
      </c>
      <c r="AO466" s="45">
        <v>607787</v>
      </c>
      <c r="AP466" s="46"/>
    </row>
    <row r="467" spans="40:42">
      <c r="AN467" t="s">
        <v>2141</v>
      </c>
      <c r="AO467" s="45">
        <v>563886</v>
      </c>
      <c r="AP467" s="46"/>
    </row>
    <row r="468" spans="40:42">
      <c r="AN468" t="s">
        <v>2142</v>
      </c>
      <c r="AO468" s="45">
        <v>563887</v>
      </c>
      <c r="AP468" s="46"/>
    </row>
    <row r="469" spans="40:42">
      <c r="AN469" t="s">
        <v>2143</v>
      </c>
      <c r="AO469" s="45">
        <v>611468</v>
      </c>
      <c r="AP469" s="46"/>
    </row>
    <row r="470" spans="40:42">
      <c r="AN470" t="s">
        <v>2144</v>
      </c>
      <c r="AO470" s="45">
        <v>618244</v>
      </c>
      <c r="AP470" s="46"/>
    </row>
    <row r="471" spans="40:42">
      <c r="AN471" t="s">
        <v>2145</v>
      </c>
      <c r="AO471" s="45">
        <v>617429</v>
      </c>
      <c r="AP471" s="46"/>
    </row>
    <row r="472" spans="40:42">
      <c r="AN472" t="s">
        <v>2146</v>
      </c>
      <c r="AO472" s="45">
        <v>609945</v>
      </c>
      <c r="AP472" s="46"/>
    </row>
    <row r="473" spans="40:42">
      <c r="AN473" t="s">
        <v>2147</v>
      </c>
      <c r="AO473" s="45">
        <v>573269</v>
      </c>
      <c r="AP473" s="46"/>
    </row>
    <row r="474" spans="40:42">
      <c r="AN474" t="s">
        <v>2148</v>
      </c>
      <c r="AO474" s="45">
        <v>607514</v>
      </c>
      <c r="AP474" s="46"/>
    </row>
    <row r="475" spans="40:42">
      <c r="AN475" t="s">
        <v>2149</v>
      </c>
      <c r="AO475" s="45">
        <v>101914</v>
      </c>
      <c r="AP475" s="46"/>
    </row>
    <row r="476" spans="40:42">
      <c r="AN476" t="s">
        <v>2150</v>
      </c>
      <c r="AO476" s="45">
        <v>572922</v>
      </c>
      <c r="AP476" s="46"/>
    </row>
    <row r="477" spans="40:42">
      <c r="AN477" t="s">
        <v>2151</v>
      </c>
      <c r="AO477" s="45">
        <v>564097</v>
      </c>
      <c r="AP477" s="46"/>
    </row>
    <row r="478" spans="40:42">
      <c r="AN478" t="s">
        <v>2152</v>
      </c>
      <c r="AO478" s="45">
        <v>563855</v>
      </c>
      <c r="AP478" s="46"/>
    </row>
    <row r="479" spans="40:42">
      <c r="AN479" t="s">
        <v>2153</v>
      </c>
      <c r="AO479" s="45">
        <v>568091</v>
      </c>
      <c r="AP479" s="46"/>
    </row>
    <row r="480" spans="40:42">
      <c r="AN480" t="s">
        <v>2154</v>
      </c>
      <c r="AO480" s="45">
        <v>609462</v>
      </c>
      <c r="AP480" s="46"/>
    </row>
    <row r="481" spans="40:42">
      <c r="AN481" t="s">
        <v>2155</v>
      </c>
      <c r="AO481" s="45">
        <v>555390</v>
      </c>
      <c r="AP481" s="46"/>
    </row>
    <row r="482" spans="40:42">
      <c r="AN482" t="s">
        <v>2156</v>
      </c>
      <c r="AO482" s="45">
        <v>563884</v>
      </c>
      <c r="AP482" s="46"/>
    </row>
    <row r="483" spans="40:42">
      <c r="AN483" t="s">
        <v>2157</v>
      </c>
      <c r="AO483" s="45">
        <v>339082</v>
      </c>
      <c r="AP483" s="46"/>
    </row>
    <row r="484" spans="40:42">
      <c r="AN484" t="s">
        <v>2158</v>
      </c>
      <c r="AO484" s="45">
        <v>573260</v>
      </c>
      <c r="AP484" s="46"/>
    </row>
    <row r="485" spans="40:42">
      <c r="AN485" t="s">
        <v>2159</v>
      </c>
      <c r="AO485" s="45">
        <v>569739</v>
      </c>
      <c r="AP485" s="46"/>
    </row>
    <row r="486" spans="40:42">
      <c r="AN486" t="s">
        <v>2160</v>
      </c>
      <c r="AO486" s="45">
        <v>607239</v>
      </c>
      <c r="AP486" s="46"/>
    </row>
    <row r="487" spans="40:42">
      <c r="AN487" t="s">
        <v>2161</v>
      </c>
      <c r="AO487" s="45">
        <v>553488</v>
      </c>
      <c r="AP487" s="46"/>
    </row>
    <row r="488" spans="40:42">
      <c r="AN488" t="s">
        <v>2162</v>
      </c>
      <c r="AO488" s="45">
        <v>608015</v>
      </c>
      <c r="AP488" s="46"/>
    </row>
    <row r="489" spans="40:42">
      <c r="AN489" t="s">
        <v>2163</v>
      </c>
      <c r="AO489" s="45">
        <v>556088</v>
      </c>
      <c r="AP489" s="46"/>
    </row>
    <row r="490" spans="40:42">
      <c r="AN490" t="s">
        <v>2164</v>
      </c>
      <c r="AO490" s="45">
        <v>480434</v>
      </c>
      <c r="AP490" s="46"/>
    </row>
    <row r="491" spans="40:42">
      <c r="AN491" t="s">
        <v>2165</v>
      </c>
      <c r="AO491" s="45">
        <v>563877</v>
      </c>
      <c r="AP491" s="46"/>
    </row>
    <row r="492" spans="40:42">
      <c r="AN492" t="s">
        <v>2166</v>
      </c>
      <c r="AO492" s="45">
        <v>568092</v>
      </c>
      <c r="AP492" s="46"/>
    </row>
    <row r="493" spans="40:42">
      <c r="AN493" t="s">
        <v>2167</v>
      </c>
      <c r="AO493" s="45">
        <v>567887</v>
      </c>
      <c r="AP493" s="46"/>
    </row>
    <row r="494" spans="40:42">
      <c r="AN494" t="s">
        <v>2168</v>
      </c>
      <c r="AO494" s="45">
        <v>562243</v>
      </c>
      <c r="AP494" s="46"/>
    </row>
    <row r="495" spans="40:42">
      <c r="AN495" t="s">
        <v>2169</v>
      </c>
      <c r="AO495" s="45">
        <v>567575</v>
      </c>
      <c r="AP495" s="46"/>
    </row>
    <row r="496" spans="40:42">
      <c r="AN496" t="s">
        <v>2170</v>
      </c>
      <c r="AO496" s="45">
        <v>567597</v>
      </c>
      <c r="AP496" s="46"/>
    </row>
    <row r="497" spans="40:42">
      <c r="AN497" t="s">
        <v>2171</v>
      </c>
      <c r="AO497" s="45">
        <v>609306</v>
      </c>
      <c r="AP497" s="46"/>
    </row>
    <row r="498" spans="40:42">
      <c r="AN498" t="s">
        <v>2172</v>
      </c>
      <c r="AO498" s="45">
        <v>609307</v>
      </c>
      <c r="AP498" s="46"/>
    </row>
    <row r="499" spans="40:42">
      <c r="AN499" t="s">
        <v>2173</v>
      </c>
      <c r="AO499" s="45">
        <v>477721</v>
      </c>
      <c r="AP499" s="46"/>
    </row>
    <row r="500" spans="40:42">
      <c r="AN500" t="s">
        <v>2174</v>
      </c>
      <c r="AO500" s="45">
        <v>572115</v>
      </c>
      <c r="AP500" s="46"/>
    </row>
    <row r="501" spans="40:42">
      <c r="AN501" t="s">
        <v>2175</v>
      </c>
      <c r="AO501" s="45">
        <v>199</v>
      </c>
      <c r="AP501" s="46"/>
    </row>
    <row r="502" spans="40:42">
      <c r="AN502" t="s">
        <v>2176</v>
      </c>
      <c r="AO502" s="45">
        <v>610305</v>
      </c>
      <c r="AP502" s="46"/>
    </row>
    <row r="503" spans="40:42">
      <c r="AN503" t="s">
        <v>2177</v>
      </c>
      <c r="AO503" s="45">
        <v>480441</v>
      </c>
      <c r="AP503" s="46"/>
    </row>
    <row r="504" spans="40:42">
      <c r="AN504" t="s">
        <v>2178</v>
      </c>
      <c r="AO504" s="45">
        <v>233</v>
      </c>
      <c r="AP504" s="46"/>
    </row>
    <row r="505" spans="40:42">
      <c r="AN505" t="s">
        <v>2179</v>
      </c>
      <c r="AO505" s="45">
        <v>566661</v>
      </c>
      <c r="AP505" s="46"/>
    </row>
    <row r="506" spans="40:42">
      <c r="AN506" t="s">
        <v>2180</v>
      </c>
      <c r="AO506" s="45">
        <v>615445</v>
      </c>
      <c r="AP506" s="46"/>
    </row>
    <row r="507" spans="40:42">
      <c r="AN507" t="s">
        <v>2181</v>
      </c>
      <c r="AO507" s="45">
        <v>580542</v>
      </c>
      <c r="AP507" s="46"/>
    </row>
    <row r="508" spans="40:42">
      <c r="AN508" t="s">
        <v>2182</v>
      </c>
      <c r="AO508" s="45">
        <v>609609</v>
      </c>
      <c r="AP508" s="46"/>
    </row>
    <row r="509" spans="40:42">
      <c r="AN509" t="s">
        <v>2183</v>
      </c>
      <c r="AO509" s="45">
        <v>566405</v>
      </c>
      <c r="AP509" s="46"/>
    </row>
    <row r="510" spans="40:42">
      <c r="AN510" t="s">
        <v>2184</v>
      </c>
      <c r="AO510" s="45">
        <v>566406</v>
      </c>
      <c r="AP510" s="46"/>
    </row>
    <row r="511" spans="40:42">
      <c r="AN511" t="s">
        <v>2185</v>
      </c>
      <c r="AO511" s="45">
        <v>566404</v>
      </c>
      <c r="AP511" s="46"/>
    </row>
    <row r="512" spans="40:42">
      <c r="AN512" t="s">
        <v>2186</v>
      </c>
      <c r="AO512" s="45">
        <v>417809</v>
      </c>
      <c r="AP512" s="46"/>
    </row>
    <row r="513" spans="40:42">
      <c r="AN513" t="s">
        <v>2187</v>
      </c>
      <c r="AO513" s="45">
        <v>616916</v>
      </c>
      <c r="AP513" s="46"/>
    </row>
    <row r="514" spans="40:42">
      <c r="AN514" t="s">
        <v>2188</v>
      </c>
      <c r="AO514" s="45">
        <v>545790</v>
      </c>
      <c r="AP514" s="46"/>
    </row>
    <row r="515" spans="40:42">
      <c r="AN515" t="s">
        <v>2189</v>
      </c>
      <c r="AO515" s="45">
        <v>417798</v>
      </c>
      <c r="AP515" s="46"/>
    </row>
    <row r="516" spans="40:42">
      <c r="AN516" t="s">
        <v>2190</v>
      </c>
      <c r="AO516" s="45">
        <v>545788</v>
      </c>
      <c r="AP516" s="46"/>
    </row>
    <row r="517" spans="40:42">
      <c r="AN517" t="s">
        <v>2191</v>
      </c>
      <c r="AO517" s="45">
        <v>545789</v>
      </c>
      <c r="AP517" s="46"/>
    </row>
    <row r="518" spans="40:42">
      <c r="AN518" t="s">
        <v>2192</v>
      </c>
      <c r="AO518" s="45">
        <v>557785</v>
      </c>
      <c r="AP518" s="46"/>
    </row>
    <row r="519" spans="40:42">
      <c r="AN519" t="s">
        <v>2193</v>
      </c>
      <c r="AO519" s="45">
        <v>618498</v>
      </c>
      <c r="AP519" s="46"/>
    </row>
    <row r="520" spans="40:42">
      <c r="AN520" t="s">
        <v>2194</v>
      </c>
      <c r="AO520" s="45">
        <v>555388</v>
      </c>
      <c r="AP520" s="46"/>
    </row>
    <row r="521" spans="40:42">
      <c r="AN521" t="s">
        <v>2195</v>
      </c>
      <c r="AO521" s="45">
        <v>553492</v>
      </c>
      <c r="AP521" s="46"/>
    </row>
    <row r="522" spans="40:42">
      <c r="AN522" t="s">
        <v>2196</v>
      </c>
      <c r="AO522" s="45">
        <v>553491</v>
      </c>
      <c r="AP522" s="46"/>
    </row>
    <row r="523" spans="40:42">
      <c r="AN523" t="s">
        <v>2197</v>
      </c>
      <c r="AO523" s="45">
        <v>555779</v>
      </c>
      <c r="AP523" s="46"/>
    </row>
    <row r="524" spans="40:42">
      <c r="AN524" t="s">
        <v>2198</v>
      </c>
      <c r="AO524" s="45">
        <v>617900</v>
      </c>
      <c r="AP524" s="46"/>
    </row>
    <row r="525" spans="40:42">
      <c r="AN525" t="s">
        <v>2199</v>
      </c>
      <c r="AO525" s="45">
        <v>556571</v>
      </c>
      <c r="AP525" s="46"/>
    </row>
    <row r="526" spans="40:42">
      <c r="AN526" t="s">
        <v>2200</v>
      </c>
      <c r="AO526" s="45">
        <v>556570</v>
      </c>
      <c r="AP526" s="46"/>
    </row>
    <row r="527" spans="40:42">
      <c r="AN527" t="s">
        <v>2201</v>
      </c>
      <c r="AO527" s="45">
        <v>609140</v>
      </c>
      <c r="AP527" s="46"/>
    </row>
    <row r="528" spans="40:42">
      <c r="AN528" t="s">
        <v>2202</v>
      </c>
      <c r="AO528" s="45">
        <v>417799</v>
      </c>
      <c r="AP528" s="46"/>
    </row>
    <row r="529" spans="40:42">
      <c r="AN529" t="s">
        <v>2203</v>
      </c>
      <c r="AO529" s="45">
        <v>564252</v>
      </c>
      <c r="AP529" s="46"/>
    </row>
    <row r="530" spans="40:42">
      <c r="AN530" t="s">
        <v>2204</v>
      </c>
      <c r="AO530" s="45">
        <v>564251</v>
      </c>
      <c r="AP530" s="46"/>
    </row>
    <row r="531" spans="40:42">
      <c r="AN531" t="s">
        <v>2205</v>
      </c>
      <c r="AO531" s="45">
        <v>608377</v>
      </c>
      <c r="AP531" s="46"/>
    </row>
    <row r="532" spans="40:42">
      <c r="AN532" t="s">
        <v>2206</v>
      </c>
      <c r="AO532" s="45">
        <v>556594</v>
      </c>
      <c r="AP532" s="46"/>
    </row>
    <row r="533" spans="40:42">
      <c r="AN533" t="s">
        <v>2207</v>
      </c>
      <c r="AO533" s="45">
        <v>572639</v>
      </c>
      <c r="AP533" s="46"/>
    </row>
    <row r="534" spans="40:42">
      <c r="AN534" t="s">
        <v>2208</v>
      </c>
      <c r="AO534" s="45">
        <v>557763</v>
      </c>
      <c r="AP534" s="46"/>
    </row>
    <row r="535" spans="40:42">
      <c r="AN535" t="s">
        <v>2209</v>
      </c>
      <c r="AO535" s="45">
        <v>609439</v>
      </c>
      <c r="AP535" s="46"/>
    </row>
    <row r="536" spans="40:42">
      <c r="AN536" t="s">
        <v>2210</v>
      </c>
      <c r="AO536" s="45">
        <v>575665</v>
      </c>
      <c r="AP536" s="46"/>
    </row>
    <row r="537" spans="40:42">
      <c r="AN537" t="s">
        <v>2211</v>
      </c>
      <c r="AO537" s="45">
        <v>555735</v>
      </c>
      <c r="AP537" s="46"/>
    </row>
    <row r="538" spans="40:42">
      <c r="AN538" t="s">
        <v>2212</v>
      </c>
      <c r="AO538" s="45">
        <v>555733</v>
      </c>
      <c r="AP538" s="46"/>
    </row>
    <row r="539" spans="40:42">
      <c r="AN539" t="s">
        <v>2213</v>
      </c>
      <c r="AO539" s="45">
        <v>618565</v>
      </c>
      <c r="AP539" s="46"/>
    </row>
    <row r="540" spans="40:42">
      <c r="AN540" t="s">
        <v>2214</v>
      </c>
      <c r="AO540" s="45">
        <v>618566</v>
      </c>
      <c r="AP540" s="46"/>
    </row>
    <row r="541" spans="40:42">
      <c r="AN541" t="s">
        <v>2215</v>
      </c>
      <c r="AO541" s="45">
        <v>618567</v>
      </c>
      <c r="AP541" s="46"/>
    </row>
    <row r="542" spans="40:42">
      <c r="AN542" t="s">
        <v>2216</v>
      </c>
      <c r="AO542" s="45">
        <v>614757</v>
      </c>
      <c r="AP542" s="46"/>
    </row>
    <row r="543" spans="40:42">
      <c r="AN543" t="s">
        <v>2217</v>
      </c>
      <c r="AO543" s="45">
        <v>276</v>
      </c>
      <c r="AP543" s="46"/>
    </row>
    <row r="544" spans="40:42">
      <c r="AN544" t="s">
        <v>2218</v>
      </c>
      <c r="AO544" s="45">
        <v>614759</v>
      </c>
      <c r="AP544" s="46"/>
    </row>
    <row r="545" spans="40:42">
      <c r="AN545" t="s">
        <v>2219</v>
      </c>
      <c r="AO545" s="45">
        <v>556352</v>
      </c>
      <c r="AP545" s="46"/>
    </row>
    <row r="546" spans="40:42">
      <c r="AN546" t="s">
        <v>2220</v>
      </c>
      <c r="AO546" s="45">
        <v>572418</v>
      </c>
      <c r="AP546" s="46"/>
    </row>
    <row r="547" spans="40:42">
      <c r="AN547" t="s">
        <v>2221</v>
      </c>
      <c r="AO547" s="45">
        <v>608184</v>
      </c>
      <c r="AP547" s="46"/>
    </row>
    <row r="548" spans="40:42">
      <c r="AN548" t="s">
        <v>2222</v>
      </c>
      <c r="AO548" s="45">
        <v>614758</v>
      </c>
      <c r="AP548" s="46"/>
    </row>
    <row r="549" spans="40:42">
      <c r="AN549" t="s">
        <v>2223</v>
      </c>
      <c r="AO549" s="45">
        <v>274</v>
      </c>
      <c r="AP549" s="46"/>
    </row>
    <row r="550" spans="40:42">
      <c r="AN550" t="s">
        <v>2224</v>
      </c>
      <c r="AO550" s="45">
        <v>480438</v>
      </c>
      <c r="AP550" s="46"/>
    </row>
    <row r="551" spans="40:42">
      <c r="AN551" t="s">
        <v>2225</v>
      </c>
      <c r="AO551" s="45">
        <v>615387</v>
      </c>
      <c r="AP551" s="46"/>
    </row>
    <row r="552" spans="40:42">
      <c r="AN552" t="s">
        <v>2226</v>
      </c>
      <c r="AO552" s="45">
        <v>564020</v>
      </c>
      <c r="AP552" s="46"/>
    </row>
    <row r="553" spans="40:42">
      <c r="AN553" t="s">
        <v>2227</v>
      </c>
      <c r="AO553" s="45">
        <v>567569</v>
      </c>
      <c r="AP553" s="46"/>
    </row>
    <row r="554" spans="40:42">
      <c r="AN554" t="s">
        <v>2228</v>
      </c>
      <c r="AO554" s="45">
        <v>557062</v>
      </c>
      <c r="AP554" s="46"/>
    </row>
    <row r="555" spans="40:42">
      <c r="AN555" t="s">
        <v>2229</v>
      </c>
      <c r="AO555" s="45">
        <v>114175</v>
      </c>
      <c r="AP555" s="46"/>
    </row>
    <row r="556" spans="40:42">
      <c r="AN556" t="s">
        <v>2230</v>
      </c>
      <c r="AO556" s="45">
        <v>568109</v>
      </c>
      <c r="AP556" s="46"/>
    </row>
    <row r="557" spans="40:42">
      <c r="AN557" t="s">
        <v>2231</v>
      </c>
      <c r="AO557" s="45">
        <v>618066</v>
      </c>
      <c r="AP557" s="46"/>
    </row>
    <row r="558" spans="40:42">
      <c r="AN558" t="s">
        <v>2232</v>
      </c>
      <c r="AO558" s="45">
        <v>567690</v>
      </c>
      <c r="AP558" s="46"/>
    </row>
    <row r="559" spans="40:42">
      <c r="AN559" t="s">
        <v>2233</v>
      </c>
      <c r="AO559" s="45">
        <v>567691</v>
      </c>
      <c r="AP559" s="46"/>
    </row>
    <row r="560" spans="40:42">
      <c r="AN560" t="s">
        <v>2234</v>
      </c>
      <c r="AO560" s="45">
        <v>567688</v>
      </c>
      <c r="AP560" s="46"/>
    </row>
    <row r="561" spans="40:42">
      <c r="AN561" t="s">
        <v>2235</v>
      </c>
      <c r="AO561" s="45">
        <v>607959</v>
      </c>
      <c r="AP561" s="46"/>
    </row>
    <row r="562" spans="40:42">
      <c r="AN562" t="s">
        <v>2236</v>
      </c>
      <c r="AO562" s="45">
        <v>477731</v>
      </c>
      <c r="AP562" s="46"/>
    </row>
    <row r="563" spans="40:42">
      <c r="AN563" t="s">
        <v>2237</v>
      </c>
      <c r="AO563" s="45">
        <v>339075</v>
      </c>
      <c r="AP563" s="46"/>
    </row>
    <row r="564" spans="40:42">
      <c r="AN564" t="s">
        <v>2238</v>
      </c>
      <c r="AO564" s="45">
        <v>553429</v>
      </c>
      <c r="AP564" s="46"/>
    </row>
    <row r="565" spans="40:42">
      <c r="AN565" t="s">
        <v>2239</v>
      </c>
      <c r="AO565" s="45">
        <v>607314</v>
      </c>
      <c r="AP565" s="46"/>
    </row>
    <row r="566" spans="40:42">
      <c r="AN566" t="s">
        <v>2240</v>
      </c>
      <c r="AO566" s="45">
        <v>545799</v>
      </c>
      <c r="AP566" s="46"/>
    </row>
    <row r="567" spans="40:42">
      <c r="AN567" t="s">
        <v>2241</v>
      </c>
      <c r="AO567" s="45">
        <v>618263</v>
      </c>
      <c r="AP567" s="46"/>
    </row>
    <row r="568" spans="40:42">
      <c r="AN568" t="s">
        <v>2242</v>
      </c>
      <c r="AO568" s="45">
        <v>618262</v>
      </c>
      <c r="AP568" s="46"/>
    </row>
    <row r="569" spans="40:42">
      <c r="AN569" t="s">
        <v>2243</v>
      </c>
      <c r="AO569" s="45">
        <v>221</v>
      </c>
      <c r="AP569" s="46"/>
    </row>
    <row r="570" spans="40:42">
      <c r="AN570" t="s">
        <v>2244</v>
      </c>
      <c r="AO570" s="45">
        <v>611423</v>
      </c>
      <c r="AP570" s="46"/>
    </row>
    <row r="571" spans="40:42">
      <c r="AN571" t="s">
        <v>2245</v>
      </c>
      <c r="AO571" s="45">
        <v>618213</v>
      </c>
      <c r="AP571" s="46"/>
    </row>
    <row r="572" spans="40:42">
      <c r="AN572" t="s">
        <v>2246</v>
      </c>
      <c r="AO572" s="45">
        <v>607405</v>
      </c>
      <c r="AP572" s="46"/>
    </row>
    <row r="573" spans="40:42">
      <c r="AN573" t="s">
        <v>2247</v>
      </c>
      <c r="AO573" s="45">
        <v>606600</v>
      </c>
      <c r="AP573" s="46"/>
    </row>
    <row r="574" spans="40:42">
      <c r="AN574" t="s">
        <v>2248</v>
      </c>
      <c r="AO574" s="45">
        <v>571280</v>
      </c>
      <c r="AP574" s="46"/>
    </row>
    <row r="575" spans="40:42">
      <c r="AN575" t="s">
        <v>2249</v>
      </c>
      <c r="AO575" s="45">
        <v>609464</v>
      </c>
      <c r="AP575" s="46"/>
    </row>
    <row r="576" spans="40:42">
      <c r="AN576" t="s">
        <v>2250</v>
      </c>
      <c r="AO576" s="45">
        <v>557762</v>
      </c>
      <c r="AP576" s="46"/>
    </row>
    <row r="577" spans="40:42">
      <c r="AN577" t="s">
        <v>2251</v>
      </c>
      <c r="AO577" s="45">
        <v>573629</v>
      </c>
      <c r="AP577" s="46"/>
    </row>
    <row r="578" spans="40:42">
      <c r="AN578" t="s">
        <v>2252</v>
      </c>
      <c r="AO578" s="45">
        <v>573630</v>
      </c>
      <c r="AP578" s="46"/>
    </row>
    <row r="579" spans="40:42">
      <c r="AN579" t="s">
        <v>2253</v>
      </c>
      <c r="AO579" s="45">
        <v>564660</v>
      </c>
      <c r="AP579" s="46"/>
    </row>
    <row r="580" spans="40:42">
      <c r="AN580" t="s">
        <v>2254</v>
      </c>
      <c r="AO580" s="45">
        <v>564647</v>
      </c>
      <c r="AP580" s="46"/>
    </row>
    <row r="581" spans="40:42">
      <c r="AN581" t="s">
        <v>2255</v>
      </c>
      <c r="AO581" s="45">
        <v>564648</v>
      </c>
      <c r="AP581" s="46"/>
    </row>
    <row r="582" spans="40:42">
      <c r="AN582" t="s">
        <v>2256</v>
      </c>
      <c r="AO582" s="45">
        <v>609095</v>
      </c>
      <c r="AP582" s="46"/>
    </row>
    <row r="583" spans="40:42">
      <c r="AN583" t="s">
        <v>2257</v>
      </c>
      <c r="AO583" s="45">
        <v>566474</v>
      </c>
      <c r="AP583" s="46"/>
    </row>
    <row r="584" spans="40:42">
      <c r="AN584" t="s">
        <v>2258</v>
      </c>
      <c r="AO584" s="45">
        <v>609137</v>
      </c>
      <c r="AP584" s="46"/>
    </row>
    <row r="585" spans="40:42">
      <c r="AN585" t="s">
        <v>2259</v>
      </c>
      <c r="AO585" s="45">
        <v>606704</v>
      </c>
      <c r="AP585" s="46"/>
    </row>
    <row r="586" spans="40:42">
      <c r="AN586" t="s">
        <v>2260</v>
      </c>
      <c r="AO586" s="45">
        <v>340</v>
      </c>
      <c r="AP586" s="46"/>
    </row>
    <row r="587" spans="40:42">
      <c r="AN587" t="s">
        <v>2261</v>
      </c>
      <c r="AO587" s="45">
        <v>562214</v>
      </c>
      <c r="AP587" s="46"/>
    </row>
    <row r="588" spans="40:42">
      <c r="AN588" t="s">
        <v>2262</v>
      </c>
      <c r="AO588" s="45">
        <v>608193</v>
      </c>
      <c r="AP588" s="46"/>
    </row>
    <row r="589" spans="40:42">
      <c r="AN589" t="s">
        <v>2263</v>
      </c>
      <c r="AO589" s="45">
        <v>567508</v>
      </c>
      <c r="AP589" s="46"/>
    </row>
    <row r="590" spans="40:42">
      <c r="AN590" t="s">
        <v>2264</v>
      </c>
      <c r="AO590" s="45">
        <v>567509</v>
      </c>
      <c r="AP590" s="46"/>
    </row>
    <row r="591" spans="40:42">
      <c r="AN591" t="s">
        <v>2265</v>
      </c>
      <c r="AO591" s="45">
        <v>567507</v>
      </c>
      <c r="AP591" s="46"/>
    </row>
    <row r="592" spans="40:42">
      <c r="AN592" t="s">
        <v>2266</v>
      </c>
      <c r="AO592" s="45">
        <v>607225</v>
      </c>
      <c r="AP592" s="46"/>
    </row>
    <row r="593" spans="40:42">
      <c r="AN593" t="s">
        <v>2267</v>
      </c>
      <c r="AO593" s="45">
        <v>607226</v>
      </c>
      <c r="AP593" s="46"/>
    </row>
    <row r="594" spans="40:42">
      <c r="AN594" t="s">
        <v>2268</v>
      </c>
      <c r="AO594" s="45">
        <v>608831</v>
      </c>
      <c r="AP594" s="46"/>
    </row>
    <row r="595" spans="40:42">
      <c r="AN595" t="s">
        <v>2269</v>
      </c>
      <c r="AO595" s="45">
        <v>562168</v>
      </c>
      <c r="AP595" s="46"/>
    </row>
    <row r="596" spans="40:42">
      <c r="AN596" t="s">
        <v>2270</v>
      </c>
      <c r="AO596" s="45">
        <v>575607</v>
      </c>
      <c r="AP596" s="46"/>
    </row>
    <row r="597" spans="40:42">
      <c r="AN597" t="s">
        <v>2271</v>
      </c>
      <c r="AO597" s="45">
        <v>606602</v>
      </c>
      <c r="AP597" s="46"/>
    </row>
    <row r="598" spans="40:42">
      <c r="AN598" t="s">
        <v>2272</v>
      </c>
      <c r="AO598" s="45">
        <v>562300</v>
      </c>
      <c r="AP598" s="46"/>
    </row>
    <row r="599" spans="40:42">
      <c r="AN599" t="s">
        <v>2273</v>
      </c>
      <c r="AO599" s="45">
        <v>555296</v>
      </c>
      <c r="AP599" s="46"/>
    </row>
    <row r="600" spans="40:42">
      <c r="AN600" t="s">
        <v>2274</v>
      </c>
      <c r="AO600" s="45">
        <v>555272</v>
      </c>
      <c r="AP600" s="46"/>
    </row>
    <row r="601" spans="40:42">
      <c r="AN601" t="s">
        <v>2275</v>
      </c>
      <c r="AO601" s="45">
        <v>608641</v>
      </c>
      <c r="AP601" s="46"/>
    </row>
    <row r="602" spans="40:42">
      <c r="AN602" t="s">
        <v>2276</v>
      </c>
      <c r="AO602" s="45">
        <v>492107</v>
      </c>
      <c r="AP602" s="46"/>
    </row>
    <row r="603" spans="40:42">
      <c r="AN603" t="s">
        <v>2277</v>
      </c>
      <c r="AO603" s="45">
        <v>617465</v>
      </c>
      <c r="AP603" s="46"/>
    </row>
    <row r="604" spans="40:42">
      <c r="AN604" t="s">
        <v>2278</v>
      </c>
      <c r="AO604" s="45">
        <v>614854</v>
      </c>
      <c r="AP604" s="46"/>
    </row>
    <row r="605" spans="40:42">
      <c r="AN605" t="s">
        <v>2279</v>
      </c>
      <c r="AO605" s="45">
        <v>611691</v>
      </c>
      <c r="AP605" s="46"/>
    </row>
    <row r="606" spans="40:42">
      <c r="AN606" t="s">
        <v>2280</v>
      </c>
      <c r="AO606" s="45">
        <v>441879</v>
      </c>
      <c r="AP606" s="46"/>
    </row>
    <row r="607" spans="40:42">
      <c r="AN607" t="s">
        <v>2281</v>
      </c>
      <c r="AO607" s="45">
        <v>608312</v>
      </c>
      <c r="AP607" s="46"/>
    </row>
    <row r="608" spans="40:42">
      <c r="AN608" t="s">
        <v>2282</v>
      </c>
      <c r="AO608" s="45">
        <v>556060</v>
      </c>
      <c r="AP608" s="46"/>
    </row>
    <row r="609" spans="40:42">
      <c r="AN609" t="s">
        <v>2283</v>
      </c>
      <c r="AO609" s="45">
        <v>556019</v>
      </c>
      <c r="AP609" s="46"/>
    </row>
    <row r="610" spans="40:42">
      <c r="AN610" t="s">
        <v>2284</v>
      </c>
      <c r="AO610" s="45">
        <v>556068</v>
      </c>
      <c r="AP610" s="46"/>
    </row>
    <row r="611" spans="40:42">
      <c r="AN611" t="s">
        <v>2285</v>
      </c>
      <c r="AO611" s="45">
        <v>556018</v>
      </c>
      <c r="AP611" s="46"/>
    </row>
    <row r="612" spans="40:42">
      <c r="AN612" t="s">
        <v>2286</v>
      </c>
      <c r="AO612" s="45">
        <v>564027</v>
      </c>
      <c r="AP612" s="46"/>
    </row>
    <row r="613" spans="40:42">
      <c r="AN613" t="s">
        <v>2287</v>
      </c>
      <c r="AO613" s="45">
        <v>564250</v>
      </c>
      <c r="AP613" s="46"/>
    </row>
    <row r="614" spans="40:42">
      <c r="AN614" t="s">
        <v>2288</v>
      </c>
      <c r="AO614" s="45">
        <v>479611</v>
      </c>
      <c r="AP614" s="46"/>
    </row>
    <row r="615" spans="40:42">
      <c r="AN615" t="s">
        <v>2289</v>
      </c>
      <c r="AO615" s="45">
        <v>555859</v>
      </c>
      <c r="AP615" s="46"/>
    </row>
    <row r="616" spans="40:42">
      <c r="AN616" t="s">
        <v>2290</v>
      </c>
      <c r="AO616" s="45">
        <v>617388</v>
      </c>
      <c r="AP616" s="46"/>
    </row>
    <row r="617" spans="40:42">
      <c r="AN617" t="s">
        <v>2291</v>
      </c>
      <c r="AO617" s="45">
        <v>563881</v>
      </c>
      <c r="AP617" s="46"/>
    </row>
    <row r="618" spans="40:42">
      <c r="AN618" t="s">
        <v>2292</v>
      </c>
      <c r="AO618" s="45">
        <v>609110</v>
      </c>
      <c r="AP618" s="46"/>
    </row>
    <row r="619" spans="40:42">
      <c r="AN619" t="s">
        <v>2293</v>
      </c>
      <c r="AO619" s="45">
        <v>564635</v>
      </c>
      <c r="AP619" s="46"/>
    </row>
    <row r="620" spans="40:42">
      <c r="AN620" t="s">
        <v>2294</v>
      </c>
      <c r="AO620" s="45">
        <v>617769</v>
      </c>
      <c r="AP620" s="46"/>
    </row>
    <row r="621" spans="40:42">
      <c r="AN621" t="s">
        <v>2295</v>
      </c>
      <c r="AO621" s="45">
        <v>611874</v>
      </c>
      <c r="AP621" s="46"/>
    </row>
    <row r="622" spans="40:42">
      <c r="AN622" t="s">
        <v>2296</v>
      </c>
      <c r="AO622" s="45">
        <v>563883</v>
      </c>
      <c r="AP622" s="46"/>
    </row>
    <row r="623" spans="40:42">
      <c r="AN623" t="s">
        <v>2297</v>
      </c>
      <c r="AO623" s="45">
        <v>339078</v>
      </c>
      <c r="AP623" s="46"/>
    </row>
    <row r="624" spans="40:42">
      <c r="AN624" t="s">
        <v>2298</v>
      </c>
      <c r="AO624" s="45">
        <v>615487</v>
      </c>
      <c r="AP624" s="46"/>
    </row>
    <row r="625" spans="40:42">
      <c r="AN625" t="s">
        <v>2299</v>
      </c>
      <c r="AO625" s="45">
        <v>555819</v>
      </c>
      <c r="AP625" s="46"/>
    </row>
    <row r="626" spans="40:42">
      <c r="AN626" t="s">
        <v>2300</v>
      </c>
      <c r="AO626" s="45">
        <v>616262</v>
      </c>
      <c r="AP626" s="46"/>
    </row>
    <row r="627" spans="40:42">
      <c r="AN627" t="s">
        <v>2301</v>
      </c>
      <c r="AO627" s="45">
        <v>555817</v>
      </c>
      <c r="AP627" s="46"/>
    </row>
    <row r="628" spans="40:42">
      <c r="AN628" t="s">
        <v>2302</v>
      </c>
      <c r="AO628" s="45">
        <v>555818</v>
      </c>
      <c r="AP628" s="46"/>
    </row>
    <row r="629" spans="40:42">
      <c r="AN629" t="s">
        <v>2303</v>
      </c>
      <c r="AO629" s="45">
        <v>555858</v>
      </c>
      <c r="AP629" s="46"/>
    </row>
    <row r="630" spans="40:42">
      <c r="AN630" t="s">
        <v>2304</v>
      </c>
      <c r="AO630" s="45">
        <v>499830</v>
      </c>
      <c r="AP630" s="46"/>
    </row>
    <row r="631" spans="40:42">
      <c r="AN631" t="s">
        <v>2305</v>
      </c>
      <c r="AO631" s="45">
        <v>563880</v>
      </c>
      <c r="AP631" s="46"/>
    </row>
    <row r="632" spans="40:42">
      <c r="AN632" t="s">
        <v>2306</v>
      </c>
      <c r="AO632" s="45">
        <v>565215</v>
      </c>
      <c r="AP632" s="46"/>
    </row>
    <row r="633" spans="40:42">
      <c r="AN633" t="s">
        <v>2307</v>
      </c>
      <c r="AO633" s="45">
        <v>339092</v>
      </c>
      <c r="AP633" s="46"/>
    </row>
    <row r="634" spans="40:42">
      <c r="AN634" t="s">
        <v>2308</v>
      </c>
      <c r="AO634" s="45">
        <v>480420</v>
      </c>
      <c r="AP634" s="46"/>
    </row>
    <row r="635" spans="40:42">
      <c r="AN635" t="s">
        <v>2309</v>
      </c>
      <c r="AO635" s="45">
        <v>567149</v>
      </c>
      <c r="AP635" s="46"/>
    </row>
    <row r="636" spans="40:42">
      <c r="AN636" t="s">
        <v>2310</v>
      </c>
      <c r="AO636" s="45">
        <v>568066</v>
      </c>
      <c r="AP636" s="46"/>
    </row>
    <row r="637" spans="40:42">
      <c r="AN637" t="s">
        <v>2311</v>
      </c>
      <c r="AO637" s="32">
        <v>417715</v>
      </c>
      <c r="AP637" s="53"/>
    </row>
    <row r="638" spans="40:42">
      <c r="AN638" t="s">
        <v>2312</v>
      </c>
      <c r="AO638" s="32">
        <v>480383</v>
      </c>
      <c r="AP638" s="53"/>
    </row>
    <row r="639" spans="40:42">
      <c r="AN639" t="s">
        <v>2313</v>
      </c>
      <c r="AO639" s="32">
        <v>608290</v>
      </c>
      <c r="AP639" s="53"/>
    </row>
    <row r="640" spans="40:42">
      <c r="AN640" t="s">
        <v>2314</v>
      </c>
      <c r="AO640" s="32">
        <v>564614</v>
      </c>
      <c r="AP640" s="53"/>
    </row>
    <row r="641" spans="40:42">
      <c r="AN641" t="s">
        <v>2315</v>
      </c>
      <c r="AO641" s="32">
        <v>615790</v>
      </c>
      <c r="AP641" s="53"/>
    </row>
    <row r="642" spans="40:42">
      <c r="AN642" t="s">
        <v>2316</v>
      </c>
      <c r="AO642" s="32">
        <v>607871</v>
      </c>
      <c r="AP642" s="53"/>
    </row>
    <row r="643" spans="40:42">
      <c r="AN643" t="s">
        <v>2317</v>
      </c>
      <c r="AO643" s="32">
        <v>479625</v>
      </c>
      <c r="AP643" s="53"/>
    </row>
    <row r="644" spans="40:42">
      <c r="AN644" t="s">
        <v>2318</v>
      </c>
      <c r="AO644" s="32">
        <v>153359</v>
      </c>
      <c r="AP644" s="53"/>
    </row>
    <row r="645" spans="40:42">
      <c r="AN645" t="s">
        <v>2319</v>
      </c>
      <c r="AO645" s="32">
        <v>617428</v>
      </c>
      <c r="AP645" s="53"/>
    </row>
    <row r="646" spans="40:42">
      <c r="AN646" t="s">
        <v>2320</v>
      </c>
      <c r="AO646" s="32">
        <v>571221</v>
      </c>
      <c r="AP646" s="53"/>
    </row>
    <row r="647" spans="40:42">
      <c r="AN647" t="s">
        <v>2321</v>
      </c>
      <c r="AO647" s="32">
        <v>555331</v>
      </c>
      <c r="AP647" s="53"/>
    </row>
    <row r="648" spans="40:42">
      <c r="AN648" t="s">
        <v>2322</v>
      </c>
      <c r="AO648" s="32">
        <v>574843</v>
      </c>
      <c r="AP648" s="53"/>
    </row>
    <row r="649" spans="40:42">
      <c r="AN649" t="s">
        <v>2323</v>
      </c>
      <c r="AO649" s="32">
        <v>574846</v>
      </c>
      <c r="AP649" s="53"/>
    </row>
    <row r="650" spans="40:42">
      <c r="AN650" t="s">
        <v>2324</v>
      </c>
      <c r="AO650" s="32">
        <v>574845</v>
      </c>
      <c r="AP650" s="53"/>
    </row>
    <row r="651" spans="40:42">
      <c r="AN651" t="s">
        <v>2325</v>
      </c>
      <c r="AO651" s="32">
        <v>574842</v>
      </c>
      <c r="AP651" s="53"/>
    </row>
    <row r="652" spans="40:42">
      <c r="AN652" t="s">
        <v>2326</v>
      </c>
      <c r="AO652" s="32">
        <v>574844</v>
      </c>
      <c r="AP652" s="53"/>
    </row>
    <row r="653" spans="40:42">
      <c r="AN653" t="s">
        <v>2327</v>
      </c>
      <c r="AO653" s="32">
        <v>575606</v>
      </c>
      <c r="AP653" s="53"/>
    </row>
    <row r="654" spans="40:42">
      <c r="AN654" t="s">
        <v>2328</v>
      </c>
      <c r="AO654" s="32">
        <v>467281</v>
      </c>
      <c r="AP654" s="53"/>
    </row>
    <row r="655" spans="40:42">
      <c r="AN655" t="s">
        <v>2329</v>
      </c>
      <c r="AO655" s="32">
        <v>563713</v>
      </c>
      <c r="AP655" s="53"/>
    </row>
    <row r="656" spans="40:42">
      <c r="AN656" t="s">
        <v>2330</v>
      </c>
      <c r="AO656" s="32">
        <v>563714</v>
      </c>
      <c r="AP656" s="53"/>
    </row>
    <row r="657" spans="40:42">
      <c r="AN657" t="s">
        <v>2331</v>
      </c>
      <c r="AO657" s="32">
        <v>563773</v>
      </c>
      <c r="AP657" s="53"/>
    </row>
    <row r="658" spans="40:42">
      <c r="AN658" t="s">
        <v>2332</v>
      </c>
      <c r="AO658" s="32">
        <v>563772</v>
      </c>
      <c r="AP658" s="53"/>
    </row>
    <row r="659" spans="40:42">
      <c r="AN659" t="s">
        <v>2333</v>
      </c>
      <c r="AO659" s="32">
        <v>555681</v>
      </c>
      <c r="AP659" s="53"/>
    </row>
    <row r="660" spans="40:42">
      <c r="AN660" t="s">
        <v>2334</v>
      </c>
      <c r="AO660" s="32">
        <v>555680</v>
      </c>
      <c r="AP660" s="53"/>
    </row>
    <row r="661" spans="40:42">
      <c r="AN661" t="s">
        <v>2335</v>
      </c>
      <c r="AO661" s="32">
        <v>609077</v>
      </c>
      <c r="AP661" s="53"/>
    </row>
    <row r="662" spans="40:42">
      <c r="AN662" t="s">
        <v>2336</v>
      </c>
      <c r="AO662" s="32">
        <v>575500</v>
      </c>
      <c r="AP662" s="53"/>
    </row>
    <row r="663" spans="40:42">
      <c r="AN663" t="s">
        <v>2337</v>
      </c>
      <c r="AO663" s="32">
        <v>575499</v>
      </c>
      <c r="AP663" s="53"/>
    </row>
    <row r="664" spans="40:42">
      <c r="AN664" t="s">
        <v>2338</v>
      </c>
      <c r="AO664" s="32">
        <v>563890</v>
      </c>
      <c r="AP664" s="53"/>
    </row>
    <row r="665" spans="40:42">
      <c r="AN665" t="s">
        <v>2339</v>
      </c>
      <c r="AO665" s="32">
        <v>235</v>
      </c>
      <c r="AP665" s="53"/>
    </row>
    <row r="666" spans="40:42">
      <c r="AN666" t="s">
        <v>2340</v>
      </c>
      <c r="AO666" s="32">
        <v>617345</v>
      </c>
      <c r="AP666" s="53"/>
    </row>
    <row r="667" spans="40:42">
      <c r="AN667" t="s">
        <v>2341</v>
      </c>
      <c r="AO667" s="32">
        <v>557784</v>
      </c>
      <c r="AP667" s="53"/>
    </row>
    <row r="668" spans="40:42">
      <c r="AN668" t="s">
        <v>2342</v>
      </c>
      <c r="AO668" s="32">
        <v>572609</v>
      </c>
      <c r="AP668" s="53"/>
    </row>
    <row r="669" spans="40:42">
      <c r="AN669" t="s">
        <v>2343</v>
      </c>
      <c r="AO669" s="32">
        <v>564636</v>
      </c>
      <c r="AP669" s="53"/>
    </row>
    <row r="670" spans="40:42">
      <c r="AN670" t="s">
        <v>2344</v>
      </c>
      <c r="AO670" s="32">
        <v>557805</v>
      </c>
      <c r="AP670" s="53"/>
    </row>
    <row r="671" spans="40:42">
      <c r="AN671" t="s">
        <v>2345</v>
      </c>
      <c r="AO671" s="32">
        <v>557810</v>
      </c>
      <c r="AP671" s="53"/>
    </row>
    <row r="672" spans="40:42">
      <c r="AN672" t="s">
        <v>2346</v>
      </c>
      <c r="AO672" s="32">
        <v>306</v>
      </c>
      <c r="AP672" s="53"/>
    </row>
    <row r="673" spans="40:42">
      <c r="AN673" t="s">
        <v>2347</v>
      </c>
      <c r="AO673" s="32">
        <v>563873</v>
      </c>
      <c r="AP673" s="53"/>
    </row>
    <row r="674" spans="40:42">
      <c r="AN674" t="s">
        <v>2348</v>
      </c>
      <c r="AO674" s="32">
        <v>570074</v>
      </c>
      <c r="AP674" s="53"/>
    </row>
    <row r="675" spans="40:42">
      <c r="AN675" t="s">
        <v>2349</v>
      </c>
      <c r="AO675" s="32">
        <v>609637</v>
      </c>
      <c r="AP675" s="53"/>
    </row>
    <row r="676" spans="40:42">
      <c r="AN676" t="s">
        <v>2350</v>
      </c>
      <c r="AO676" s="32">
        <v>606607</v>
      </c>
      <c r="AP676" s="53"/>
    </row>
    <row r="677" spans="40:42">
      <c r="AN677" t="s">
        <v>2351</v>
      </c>
      <c r="AO677" s="32">
        <v>565305</v>
      </c>
      <c r="AP677" s="53"/>
    </row>
    <row r="678" spans="40:42">
      <c r="AN678" t="s">
        <v>2352</v>
      </c>
      <c r="AO678" s="32">
        <v>616919</v>
      </c>
      <c r="AP678" s="53"/>
    </row>
    <row r="679" spans="40:42">
      <c r="AN679" t="s">
        <v>2353</v>
      </c>
      <c r="AO679" s="32">
        <v>566476</v>
      </c>
      <c r="AP679" s="53"/>
    </row>
    <row r="680" spans="40:42">
      <c r="AN680" t="s">
        <v>2354</v>
      </c>
      <c r="AO680" s="32">
        <v>470662</v>
      </c>
      <c r="AP680" s="53"/>
    </row>
    <row r="681" spans="40:42">
      <c r="AN681" t="s">
        <v>2355</v>
      </c>
      <c r="AO681" s="32">
        <v>618481</v>
      </c>
      <c r="AP681" s="53"/>
    </row>
    <row r="682" spans="40:42">
      <c r="AO682" s="32"/>
      <c r="AP682" s="53"/>
    </row>
    <row r="683" spans="40:42">
      <c r="AO683" s="32"/>
      <c r="AP683" s="53"/>
    </row>
    <row r="684" spans="40:42">
      <c r="AO684" s="32"/>
      <c r="AP684" s="53"/>
    </row>
    <row r="685" spans="40:42">
      <c r="AO685" s="32"/>
      <c r="AP685" s="53"/>
    </row>
    <row r="686" spans="40:42">
      <c r="AO686" s="32"/>
      <c r="AP686" s="53"/>
    </row>
    <row r="687" spans="40:42">
      <c r="AO687" s="32"/>
      <c r="AP687" s="53"/>
    </row>
    <row r="688" spans="40:42">
      <c r="AO688" s="32"/>
      <c r="AP688" s="53"/>
    </row>
    <row r="689" spans="41:42">
      <c r="AO689" s="32"/>
      <c r="AP689" s="53"/>
    </row>
    <row r="690" spans="41:42">
      <c r="AO690" s="32"/>
      <c r="AP690" s="53"/>
    </row>
    <row r="691" spans="41:42">
      <c r="AO691" s="32"/>
      <c r="AP691" s="53"/>
    </row>
    <row r="692" spans="41:42">
      <c r="AO692" s="32"/>
      <c r="AP692" s="53"/>
    </row>
    <row r="693" spans="41:42">
      <c r="AO693" s="32"/>
      <c r="AP693" s="53"/>
    </row>
    <row r="694" spans="41:42">
      <c r="AO694" s="32"/>
      <c r="AP694" s="53"/>
    </row>
    <row r="695" spans="41:42">
      <c r="AO695" s="32"/>
      <c r="AP695" s="53"/>
    </row>
    <row r="696" spans="41:42">
      <c r="AO696" s="32"/>
      <c r="AP696" s="53"/>
    </row>
    <row r="697" spans="41:42">
      <c r="AO697" s="32"/>
      <c r="AP697" s="53"/>
    </row>
    <row r="698" spans="41:42">
      <c r="AO698" s="32"/>
      <c r="AP698" s="53"/>
    </row>
    <row r="699" spans="41:42">
      <c r="AO699" s="32"/>
      <c r="AP699" s="53"/>
    </row>
    <row r="700" spans="41:42">
      <c r="AO700" s="32"/>
      <c r="AP700" s="53"/>
    </row>
    <row r="701" spans="41:42">
      <c r="AO701" s="32"/>
      <c r="AP701" s="53"/>
    </row>
    <row r="702" spans="41:42">
      <c r="AO702" s="32"/>
      <c r="AP702" s="53"/>
    </row>
    <row r="703" spans="41:42">
      <c r="AO703" s="32"/>
      <c r="AP703" s="53"/>
    </row>
    <row r="704" spans="41:42">
      <c r="AO704" s="32"/>
      <c r="AP704" s="53"/>
    </row>
    <row r="705" spans="41:42">
      <c r="AO705" s="32"/>
      <c r="AP705" s="53"/>
    </row>
    <row r="706" spans="41:42">
      <c r="AO706" s="32"/>
      <c r="AP706" s="53"/>
    </row>
    <row r="707" spans="41:42">
      <c r="AO707" s="32"/>
      <c r="AP707" s="53"/>
    </row>
    <row r="708" spans="41:42">
      <c r="AO708" s="32"/>
      <c r="AP708" s="53"/>
    </row>
    <row r="709" spans="41:42">
      <c r="AO709" s="32"/>
      <c r="AP709" s="53"/>
    </row>
    <row r="710" spans="41:42">
      <c r="AO710" s="32"/>
      <c r="AP710" s="53"/>
    </row>
    <row r="711" spans="41:42">
      <c r="AO711" s="32"/>
      <c r="AP711" s="53"/>
    </row>
    <row r="712" spans="41:42">
      <c r="AO712" s="32"/>
      <c r="AP712" s="53"/>
    </row>
    <row r="713" spans="41:42">
      <c r="AO713" s="32"/>
      <c r="AP713" s="53"/>
    </row>
    <row r="714" spans="41:42">
      <c r="AO714" s="32"/>
      <c r="AP714" s="53"/>
    </row>
    <row r="715" spans="41:42">
      <c r="AO715" s="32"/>
      <c r="AP715" s="53"/>
    </row>
    <row r="716" spans="41:42">
      <c r="AO716" s="32"/>
      <c r="AP716" s="53"/>
    </row>
    <row r="717" spans="41:42">
      <c r="AO717" s="32"/>
      <c r="AP717" s="53"/>
    </row>
    <row r="718" spans="41:42">
      <c r="AO718" s="32"/>
      <c r="AP718" s="53"/>
    </row>
    <row r="719" spans="41:42">
      <c r="AO719" s="32"/>
      <c r="AP719" s="53"/>
    </row>
    <row r="720" spans="41:42">
      <c r="AO720" s="32"/>
      <c r="AP720" s="53"/>
    </row>
    <row r="721" spans="41:42">
      <c r="AO721" s="32"/>
      <c r="AP721" s="53"/>
    </row>
    <row r="722" spans="41:42">
      <c r="AO722" s="32"/>
      <c r="AP722" s="53"/>
    </row>
    <row r="723" spans="41:42">
      <c r="AO723" s="32"/>
      <c r="AP723" s="53"/>
    </row>
    <row r="724" spans="41:42">
      <c r="AO724" s="32"/>
      <c r="AP724" s="53"/>
    </row>
  </sheetData>
  <pageMargins left="0.7" right="0.7" top="0.75" bottom="0.75" header="0.3" footer="0.3"/>
  <pageSetup paperSize="9" orientation="portrait"/>
  <headerFooter>
    <oddHeader>&amp;R&amp;"Calibri"&amp;1 &amp;K0000FF Internal Document#_x000D_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G8"/>
  <sheetViews>
    <sheetView workbookViewId="0">
      <selection activeCell="C37" sqref="C37"/>
    </sheetView>
  </sheetViews>
  <sheetFormatPr baseColWidth="10" defaultColWidth="8.83203125" defaultRowHeight="15"/>
  <cols>
    <col min="1" max="1" width="48.83203125" customWidth="1"/>
  </cols>
  <sheetData>
    <row r="4" spans="1:7">
      <c r="A4" s="38" t="s">
        <v>2356</v>
      </c>
      <c r="B4" s="39" t="s">
        <v>2357</v>
      </c>
    </row>
    <row r="6" spans="1:7">
      <c r="B6" t="s">
        <v>0</v>
      </c>
      <c r="C6" t="s">
        <v>1</v>
      </c>
      <c r="D6" t="s">
        <v>2</v>
      </c>
      <c r="E6" t="s">
        <v>3</v>
      </c>
      <c r="F6" t="s">
        <v>4</v>
      </c>
      <c r="G6" t="s">
        <v>5</v>
      </c>
    </row>
    <row r="7" spans="1:7">
      <c r="B7" t="s">
        <v>22</v>
      </c>
      <c r="C7" t="s">
        <v>1042</v>
      </c>
      <c r="D7" t="s">
        <v>21</v>
      </c>
      <c r="E7" t="s">
        <v>18</v>
      </c>
      <c r="F7" t="s">
        <v>16</v>
      </c>
      <c r="G7" t="s">
        <v>23</v>
      </c>
    </row>
    <row r="8" spans="1:7">
      <c r="A8" s="40" t="s">
        <v>2358</v>
      </c>
      <c r="B8" t="e">
        <v>#N/A</v>
      </c>
    </row>
  </sheetData>
  <hyperlinks>
    <hyperlink ref="B4" r:id="rId1" xr:uid="{00000000-0004-0000-02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62"/>
  </sheetPr>
  <dimension ref="A1:AA178"/>
  <sheetViews>
    <sheetView showGridLines="0" tabSelected="1" zoomScale="97" zoomScaleNormal="97" workbookViewId="0">
      <selection activeCell="K21" sqref="K21"/>
    </sheetView>
  </sheetViews>
  <sheetFormatPr baseColWidth="10" defaultColWidth="9.1640625" defaultRowHeight="14" outlineLevelRow="1" outlineLevelCol="1"/>
  <cols>
    <col min="1" max="1" width="3.83203125" style="4" customWidth="1" outlineLevel="1"/>
    <col min="2" max="2" width="39.1640625" style="6" customWidth="1"/>
    <col min="3" max="3" width="26.83203125" style="7" bestFit="1" customWidth="1"/>
    <col min="4" max="4" width="17.33203125" style="1" customWidth="1"/>
    <col min="5" max="9" width="7" style="1" customWidth="1"/>
    <col min="10" max="11" width="7" style="4" customWidth="1"/>
    <col min="12" max="12" width="8.33203125" style="4" customWidth="1"/>
    <col min="13" max="15" width="8.33203125" style="4" customWidth="1" outlineLevel="1"/>
    <col min="16" max="25" width="10.6640625" style="4" customWidth="1" outlineLevel="1"/>
    <col min="26" max="26" width="9.1640625" style="4" customWidth="1"/>
    <col min="27" max="16384" width="9.1640625" style="4"/>
  </cols>
  <sheetData>
    <row r="1" spans="2:11" ht="25" customHeight="1" thickBot="1">
      <c r="B1" s="2"/>
      <c r="C1" s="3"/>
      <c r="D1" s="4"/>
      <c r="E1" s="4"/>
      <c r="F1" s="4"/>
      <c r="G1" s="4"/>
      <c r="H1" s="4"/>
      <c r="I1" s="4"/>
    </row>
    <row r="2" spans="2:11" ht="33.75" customHeight="1">
      <c r="B2" s="56" t="s">
        <v>1488</v>
      </c>
      <c r="C2" s="67" t="s">
        <v>2359</v>
      </c>
      <c r="D2" s="4"/>
      <c r="E2" s="4"/>
      <c r="F2" s="4"/>
      <c r="G2" s="4"/>
      <c r="H2" s="4"/>
      <c r="I2" s="4"/>
    </row>
    <row r="3" spans="2:11" ht="14.5" customHeight="1" thickBot="1">
      <c r="B3" s="57" t="s">
        <v>1599</v>
      </c>
      <c r="C3" s="68" t="s">
        <v>972</v>
      </c>
      <c r="D3" s="4"/>
      <c r="E3" s="4"/>
      <c r="F3" s="4"/>
      <c r="G3" s="4"/>
      <c r="H3" s="4"/>
      <c r="I3" s="4"/>
    </row>
    <row r="4" spans="2:11" ht="15.75" customHeight="1" thickBot="1">
      <c r="B4" s="2"/>
      <c r="C4" s="3"/>
      <c r="D4" s="3"/>
      <c r="E4" s="3"/>
      <c r="F4" s="3"/>
      <c r="G4" s="3"/>
      <c r="H4" s="3"/>
      <c r="I4" s="3"/>
    </row>
    <row r="5" spans="2:11" ht="79.5" customHeight="1" thickBot="1">
      <c r="B5" s="58" t="s">
        <v>1407</v>
      </c>
      <c r="C5" s="69" t="s">
        <v>14</v>
      </c>
      <c r="D5" s="70"/>
      <c r="E5" s="70"/>
      <c r="F5" s="70"/>
      <c r="G5" s="70"/>
      <c r="H5" s="70"/>
      <c r="I5" s="71"/>
    </row>
    <row r="6" spans="2:11" ht="15.75" customHeight="1" thickBot="1">
      <c r="B6" s="2"/>
      <c r="C6" s="3"/>
      <c r="D6" s="4"/>
      <c r="E6" s="4"/>
      <c r="F6" s="4"/>
      <c r="G6" s="4"/>
      <c r="H6" s="4"/>
      <c r="I6" s="4"/>
    </row>
    <row r="7" spans="2:11" ht="27.75" customHeight="1">
      <c r="B7" s="59" t="s">
        <v>1240</v>
      </c>
      <c r="C7" s="72" t="s">
        <v>1011</v>
      </c>
      <c r="D7" s="73" t="s">
        <v>975</v>
      </c>
      <c r="E7" s="73"/>
      <c r="F7" s="73"/>
      <c r="G7" s="73"/>
      <c r="H7" s="73"/>
      <c r="I7" s="74"/>
    </row>
    <row r="8" spans="2:11" ht="26.25" customHeight="1">
      <c r="B8" s="61" t="s">
        <v>1294</v>
      </c>
      <c r="C8" s="83" t="s">
        <v>72</v>
      </c>
      <c r="D8" s="84" t="s">
        <v>94</v>
      </c>
      <c r="E8" s="84"/>
      <c r="F8" s="84"/>
      <c r="G8" s="84"/>
      <c r="H8" s="84"/>
      <c r="I8" s="85"/>
    </row>
    <row r="9" spans="2:11" ht="20.5" customHeight="1" thickBot="1">
      <c r="B9" s="64" t="s">
        <v>1614</v>
      </c>
      <c r="C9" s="75">
        <v>0.85</v>
      </c>
      <c r="D9" s="76">
        <v>0.15</v>
      </c>
      <c r="E9" s="76"/>
      <c r="F9" s="76"/>
      <c r="G9" s="76"/>
      <c r="H9" s="76"/>
      <c r="I9" s="88"/>
      <c r="K9" s="54"/>
    </row>
    <row r="10" spans="2:11" ht="15.5" customHeight="1" thickBot="1">
      <c r="B10" s="65" t="s">
        <v>1607</v>
      </c>
      <c r="C10" s="77" t="s">
        <v>1010</v>
      </c>
      <c r="D10" s="4"/>
      <c r="E10" s="4"/>
      <c r="F10" s="4"/>
      <c r="G10" s="4"/>
      <c r="H10" s="4"/>
      <c r="I10" s="4"/>
    </row>
    <row r="11" spans="2:11" ht="15.75" customHeight="1" thickBot="1">
      <c r="B11" s="2"/>
      <c r="C11" s="3"/>
      <c r="D11" s="4"/>
      <c r="E11" s="4"/>
      <c r="F11" s="4"/>
      <c r="G11" s="4"/>
      <c r="H11" s="4"/>
      <c r="I11" s="4"/>
    </row>
    <row r="12" spans="2:11" ht="15" customHeight="1">
      <c r="B12" s="63" t="s">
        <v>1153</v>
      </c>
      <c r="C12" s="87" t="s">
        <v>1173</v>
      </c>
      <c r="D12" s="4"/>
      <c r="E12" s="4"/>
      <c r="F12" s="4"/>
      <c r="G12" s="4"/>
      <c r="H12" s="4"/>
      <c r="I12" s="4"/>
    </row>
    <row r="13" spans="2:11" ht="15" customHeight="1">
      <c r="B13" s="61" t="s">
        <v>1136</v>
      </c>
      <c r="C13" s="78" t="s">
        <v>1385</v>
      </c>
      <c r="D13" s="4"/>
      <c r="E13" s="4"/>
      <c r="F13" s="4"/>
      <c r="G13" s="4"/>
      <c r="H13" s="4"/>
      <c r="I13" s="4"/>
    </row>
    <row r="14" spans="2:11" ht="15" customHeight="1">
      <c r="B14" s="61" t="s">
        <v>969</v>
      </c>
      <c r="C14" s="79" t="s">
        <v>944</v>
      </c>
      <c r="D14" s="4"/>
      <c r="E14" s="4"/>
      <c r="F14" s="4"/>
      <c r="G14" s="4"/>
      <c r="H14" s="4"/>
      <c r="I14" s="4"/>
    </row>
    <row r="15" spans="2:11" ht="15.75" customHeight="1" thickBot="1">
      <c r="B15" s="62" t="s">
        <v>1188</v>
      </c>
      <c r="C15" s="68" t="s">
        <v>1048</v>
      </c>
      <c r="D15" s="4"/>
      <c r="E15" s="4"/>
      <c r="F15" s="4"/>
      <c r="G15" s="4"/>
      <c r="H15" s="4"/>
      <c r="I15" s="4"/>
    </row>
    <row r="16" spans="2:11" ht="15" customHeight="1">
      <c r="B16" s="2"/>
      <c r="C16" s="5"/>
      <c r="D16" s="4"/>
      <c r="E16" s="4"/>
      <c r="F16" s="4"/>
      <c r="G16" s="4"/>
      <c r="H16" s="4"/>
      <c r="I16" s="4"/>
    </row>
    <row r="17" spans="2:9" ht="15.75" customHeight="1" thickBot="1">
      <c r="B17" s="2"/>
      <c r="C17" s="3"/>
      <c r="D17" s="4"/>
      <c r="E17" s="4"/>
      <c r="F17" s="4"/>
      <c r="G17" s="4"/>
      <c r="H17" s="4"/>
      <c r="I17" s="4"/>
    </row>
    <row r="18" spans="2:9" ht="15" customHeight="1">
      <c r="B18" s="60" t="s">
        <v>1068</v>
      </c>
      <c r="C18" s="80" t="s">
        <v>78</v>
      </c>
      <c r="D18" s="4"/>
      <c r="E18" s="4"/>
      <c r="F18" s="4"/>
      <c r="G18" s="4"/>
      <c r="H18" s="4"/>
      <c r="I18" s="4"/>
    </row>
    <row r="19" spans="2:9" ht="15" customHeight="1">
      <c r="B19" s="61" t="s">
        <v>1355</v>
      </c>
      <c r="C19" s="79" t="s">
        <v>63</v>
      </c>
      <c r="D19" s="4"/>
      <c r="E19" s="4"/>
      <c r="F19" s="4"/>
      <c r="G19" s="4"/>
      <c r="H19" s="4"/>
      <c r="I19" s="4"/>
    </row>
    <row r="20" spans="2:9" ht="15" customHeight="1">
      <c r="B20" s="61" t="s">
        <v>1117</v>
      </c>
      <c r="C20" s="79" t="s">
        <v>62</v>
      </c>
      <c r="D20" s="4"/>
      <c r="E20" s="4"/>
      <c r="F20" s="4"/>
      <c r="G20" s="4"/>
      <c r="H20" s="4"/>
      <c r="I20" s="4"/>
    </row>
    <row r="21" spans="2:9" ht="15" customHeight="1">
      <c r="B21" s="61" t="s">
        <v>76</v>
      </c>
      <c r="C21" s="79" t="s">
        <v>71</v>
      </c>
      <c r="D21" s="4"/>
      <c r="E21" s="4"/>
      <c r="F21" s="4"/>
      <c r="G21" s="4"/>
      <c r="H21" s="4"/>
      <c r="I21" s="4"/>
    </row>
    <row r="22" spans="2:9" ht="15" customHeight="1">
      <c r="B22" s="61" t="s">
        <v>333</v>
      </c>
      <c r="C22" s="79" t="s">
        <v>68</v>
      </c>
      <c r="D22" s="4"/>
      <c r="E22" s="4"/>
      <c r="F22" s="4"/>
      <c r="G22" s="4"/>
      <c r="H22" s="4"/>
      <c r="I22" s="4"/>
    </row>
    <row r="23" spans="2:9" ht="15" customHeight="1">
      <c r="B23" s="61" t="s">
        <v>1480</v>
      </c>
      <c r="C23" s="79" t="s">
        <v>93</v>
      </c>
      <c r="D23" s="4"/>
      <c r="E23" s="4"/>
      <c r="F23" s="4"/>
      <c r="G23" s="4"/>
      <c r="H23" s="4"/>
      <c r="I23" s="4"/>
    </row>
    <row r="24" spans="2:9" ht="15" customHeight="1">
      <c r="B24" s="61" t="s">
        <v>1005</v>
      </c>
      <c r="C24" s="79" t="s">
        <v>71</v>
      </c>
      <c r="D24" s="4"/>
      <c r="E24" s="4"/>
      <c r="F24" s="4"/>
      <c r="G24" s="4"/>
      <c r="H24" s="4"/>
      <c r="I24" s="4"/>
    </row>
    <row r="25" spans="2:9" ht="15.75" customHeight="1" thickBot="1">
      <c r="B25" s="62" t="s">
        <v>1038</v>
      </c>
      <c r="C25" s="68"/>
      <c r="D25" s="4"/>
      <c r="E25" s="4"/>
      <c r="F25" s="4"/>
      <c r="G25" s="4"/>
      <c r="H25" s="4"/>
      <c r="I25" s="4"/>
    </row>
    <row r="26" spans="2:9" ht="15.75" customHeight="1" thickBot="1">
      <c r="D26" s="4"/>
      <c r="E26" s="4"/>
      <c r="F26" s="4"/>
      <c r="G26" s="4"/>
      <c r="H26" s="4"/>
      <c r="I26" s="4"/>
    </row>
    <row r="27" spans="2:9" ht="15" customHeight="1">
      <c r="B27" s="60" t="s">
        <v>1220</v>
      </c>
      <c r="C27" s="80" t="s">
        <v>94</v>
      </c>
      <c r="D27" s="4"/>
      <c r="E27" s="4"/>
      <c r="F27" s="4"/>
      <c r="G27" s="4"/>
      <c r="H27" s="4"/>
      <c r="I27" s="4"/>
    </row>
    <row r="28" spans="2:9" ht="15" customHeight="1">
      <c r="B28" s="61" t="s">
        <v>1381</v>
      </c>
      <c r="C28" s="79" t="s">
        <v>93</v>
      </c>
      <c r="D28" s="4"/>
      <c r="E28" s="4"/>
      <c r="F28" s="4"/>
      <c r="G28" s="4"/>
      <c r="H28" s="4"/>
      <c r="I28" s="4"/>
    </row>
    <row r="29" spans="2:9" ht="15" customHeight="1">
      <c r="B29" s="61" t="s">
        <v>1168</v>
      </c>
      <c r="C29" s="79" t="s">
        <v>71</v>
      </c>
      <c r="D29" s="4"/>
      <c r="E29" s="4"/>
      <c r="F29" s="4"/>
      <c r="G29" s="4"/>
      <c r="H29" s="4"/>
      <c r="I29" s="4"/>
    </row>
    <row r="30" spans="2:9" ht="15" customHeight="1">
      <c r="B30" s="61" t="s">
        <v>1093</v>
      </c>
      <c r="C30" s="79" t="s">
        <v>68</v>
      </c>
      <c r="D30" s="4"/>
      <c r="E30" s="4"/>
      <c r="F30" s="4"/>
      <c r="G30" s="4"/>
      <c r="H30" s="4"/>
      <c r="I30" s="4"/>
    </row>
    <row r="31" spans="2:9" ht="15.75" customHeight="1" thickBot="1">
      <c r="B31" s="62" t="s">
        <v>1105</v>
      </c>
      <c r="C31" s="68" t="s">
        <v>1044</v>
      </c>
      <c r="D31" s="4"/>
      <c r="E31" s="4"/>
      <c r="F31" s="4"/>
      <c r="G31" s="4"/>
      <c r="H31" s="4"/>
      <c r="I31" s="4"/>
    </row>
    <row r="32" spans="2:9" ht="15" customHeight="1">
      <c r="B32" s="2"/>
      <c r="C32" s="3"/>
      <c r="D32" s="4"/>
      <c r="E32" s="4"/>
      <c r="F32" s="4"/>
      <c r="G32" s="4"/>
      <c r="H32" s="4"/>
      <c r="I32" s="4"/>
    </row>
    <row r="33" spans="2:27" ht="15" customHeight="1">
      <c r="B33" s="2"/>
      <c r="C33" s="3"/>
      <c r="D33" s="4"/>
      <c r="E33" s="4"/>
      <c r="F33" s="4"/>
      <c r="G33" s="4"/>
      <c r="H33" s="4"/>
      <c r="I33" s="4"/>
    </row>
    <row r="34" spans="2:27" ht="21.75" customHeight="1" thickBot="1">
      <c r="B34" s="2"/>
      <c r="C34" s="3"/>
      <c r="D34" s="4"/>
      <c r="E34" s="4"/>
      <c r="F34" s="4"/>
      <c r="G34" s="4"/>
      <c r="H34" s="4"/>
      <c r="I34" s="4"/>
    </row>
    <row r="35" spans="2:27" ht="15.75" customHeight="1" thickBot="1">
      <c r="B35" s="66" t="s">
        <v>962</v>
      </c>
      <c r="C35" s="55">
        <v>2019</v>
      </c>
      <c r="D35" s="55">
        <v>2020</v>
      </c>
      <c r="E35" s="55">
        <v>2021</v>
      </c>
      <c r="F35" s="55">
        <v>2022</v>
      </c>
      <c r="G35" s="55">
        <v>2023</v>
      </c>
      <c r="H35" s="55">
        <v>2024</v>
      </c>
      <c r="I35" s="55">
        <v>2025</v>
      </c>
      <c r="J35" s="55" t="s">
        <v>2360</v>
      </c>
      <c r="K35" s="55" t="s">
        <v>2361</v>
      </c>
      <c r="L35" s="55" t="s">
        <v>2362</v>
      </c>
      <c r="Z35" s="81"/>
    </row>
    <row r="36" spans="2:27" ht="15.75" customHeight="1" thickBot="1">
      <c r="B36" s="15" t="s">
        <v>951</v>
      </c>
      <c r="C36" s="86">
        <v>1</v>
      </c>
      <c r="D36" s="86">
        <v>1</v>
      </c>
      <c r="E36" s="86">
        <v>1</v>
      </c>
      <c r="F36" s="86" t="s">
        <v>2363</v>
      </c>
      <c r="G36" s="86">
        <v>2</v>
      </c>
      <c r="H36" s="86">
        <v>2</v>
      </c>
      <c r="I36" s="86">
        <v>2</v>
      </c>
      <c r="J36" s="86">
        <v>3</v>
      </c>
      <c r="K36" s="86">
        <v>3</v>
      </c>
      <c r="L36" s="86">
        <v>3</v>
      </c>
      <c r="M36" s="82" t="s">
        <v>2364</v>
      </c>
      <c r="AA36" s="13"/>
    </row>
    <row r="37" spans="2:27" ht="15.75" customHeight="1" thickBot="1">
      <c r="B37" s="15" t="s">
        <v>988</v>
      </c>
      <c r="C37" s="86">
        <v>1</v>
      </c>
      <c r="D37" s="86">
        <v>1</v>
      </c>
      <c r="E37" s="86">
        <v>1</v>
      </c>
      <c r="F37" s="86">
        <v>1</v>
      </c>
      <c r="G37" s="86">
        <v>2</v>
      </c>
      <c r="H37" s="86">
        <v>2</v>
      </c>
      <c r="I37" s="86">
        <v>2</v>
      </c>
      <c r="J37" s="86">
        <v>3</v>
      </c>
      <c r="K37" s="86">
        <v>3</v>
      </c>
      <c r="L37" s="86">
        <v>3</v>
      </c>
      <c r="M37" s="82" t="s">
        <v>2364</v>
      </c>
      <c r="AA37" s="13"/>
    </row>
    <row r="38" spans="2:27" ht="15.75" customHeight="1" outlineLevel="1" thickBot="1">
      <c r="B38" s="15" t="s">
        <v>1023</v>
      </c>
      <c r="C38" s="86">
        <v>1</v>
      </c>
      <c r="D38" s="86">
        <v>1</v>
      </c>
      <c r="E38" s="86">
        <v>1</v>
      </c>
      <c r="F38" s="86">
        <v>1</v>
      </c>
      <c r="G38" s="86">
        <v>2</v>
      </c>
      <c r="H38" s="86">
        <v>2</v>
      </c>
      <c r="I38" s="86">
        <v>2</v>
      </c>
      <c r="J38" s="86">
        <v>3</v>
      </c>
      <c r="K38" s="86">
        <v>3</v>
      </c>
      <c r="L38" s="86">
        <v>3</v>
      </c>
      <c r="M38" s="82" t="s">
        <v>2364</v>
      </c>
      <c r="AA38" s="13"/>
    </row>
    <row r="39" spans="2:27" ht="15.75" customHeight="1" outlineLevel="1" thickBot="1">
      <c r="B39" s="15" t="s">
        <v>1052</v>
      </c>
      <c r="C39" s="86">
        <v>1</v>
      </c>
      <c r="D39" s="86">
        <v>1</v>
      </c>
      <c r="E39" s="86">
        <v>1</v>
      </c>
      <c r="F39" s="86">
        <v>1</v>
      </c>
      <c r="G39" s="86">
        <v>3</v>
      </c>
      <c r="H39" s="86">
        <v>3</v>
      </c>
      <c r="I39" s="86">
        <v>3</v>
      </c>
      <c r="J39" s="86">
        <v>3</v>
      </c>
      <c r="K39" s="86">
        <v>3</v>
      </c>
      <c r="L39" s="86">
        <v>3</v>
      </c>
      <c r="M39" s="82" t="s">
        <v>2364</v>
      </c>
      <c r="AA39" s="13"/>
    </row>
    <row r="40" spans="2:27" ht="15.75" customHeight="1" thickBot="1">
      <c r="B40" s="15" t="s">
        <v>1080</v>
      </c>
      <c r="C40" s="86">
        <v>1</v>
      </c>
      <c r="D40" s="86">
        <v>1</v>
      </c>
      <c r="E40" s="86">
        <v>1</v>
      </c>
      <c r="F40" s="86">
        <v>1</v>
      </c>
      <c r="G40" s="86">
        <v>3</v>
      </c>
      <c r="H40" s="86">
        <v>3</v>
      </c>
      <c r="I40" s="86">
        <v>3</v>
      </c>
      <c r="J40" s="86">
        <v>3</v>
      </c>
      <c r="K40" s="86">
        <v>3</v>
      </c>
      <c r="L40" s="86">
        <v>3</v>
      </c>
      <c r="M40" s="82" t="s">
        <v>2364</v>
      </c>
      <c r="AA40" s="13"/>
    </row>
    <row r="41" spans="2:27" ht="15.75" customHeight="1" thickBot="1">
      <c r="B41" s="33" t="s">
        <v>1105</v>
      </c>
      <c r="C41" s="86">
        <v>1</v>
      </c>
      <c r="D41" s="86">
        <v>1</v>
      </c>
      <c r="E41" s="86">
        <v>1</v>
      </c>
      <c r="F41" s="86">
        <v>1</v>
      </c>
      <c r="G41" s="86">
        <v>3</v>
      </c>
      <c r="H41" s="86">
        <v>3</v>
      </c>
      <c r="I41" s="86">
        <v>3</v>
      </c>
      <c r="J41" s="86">
        <v>3</v>
      </c>
      <c r="K41" s="86">
        <v>3</v>
      </c>
      <c r="L41" s="86">
        <v>3</v>
      </c>
      <c r="M41" s="82" t="s">
        <v>2364</v>
      </c>
      <c r="AA41" s="13"/>
    </row>
    <row r="42" spans="2:27" ht="15.75" customHeight="1" thickTop="1">
      <c r="B42" s="2"/>
      <c r="C42" s="3"/>
      <c r="D42" s="4"/>
      <c r="E42" s="4"/>
      <c r="F42" s="4"/>
      <c r="G42" s="4"/>
      <c r="H42" s="4"/>
      <c r="I42" s="4"/>
    </row>
    <row r="43" spans="2:27">
      <c r="B43" s="2"/>
      <c r="C43" s="3"/>
      <c r="D43" s="4"/>
      <c r="E43" s="4"/>
      <c r="F43" s="4"/>
      <c r="G43" s="4"/>
      <c r="H43" s="4"/>
      <c r="I43" s="4"/>
    </row>
    <row r="44" spans="2:27">
      <c r="B44" s="2"/>
      <c r="C44" s="3"/>
      <c r="D44" s="4"/>
      <c r="E44" s="4"/>
      <c r="F44" s="4"/>
      <c r="G44" s="4"/>
      <c r="H44" s="4"/>
      <c r="I44" s="4"/>
    </row>
    <row r="45" spans="2:27">
      <c r="B45" s="2"/>
      <c r="C45" s="3"/>
      <c r="D45" s="4"/>
      <c r="E45" s="4"/>
      <c r="F45" s="4"/>
      <c r="G45" s="4"/>
      <c r="H45" s="4"/>
      <c r="I45" s="4"/>
    </row>
    <row r="46" spans="2:27">
      <c r="B46" s="2"/>
      <c r="C46" s="3"/>
      <c r="D46" s="4"/>
      <c r="E46" s="4"/>
      <c r="F46" s="4"/>
      <c r="G46" s="4"/>
      <c r="H46" s="4"/>
      <c r="I46" s="4"/>
    </row>
    <row r="47" spans="2:27">
      <c r="B47" s="2"/>
      <c r="C47" s="3"/>
      <c r="D47" s="4"/>
      <c r="E47" s="4"/>
      <c r="F47" s="4"/>
      <c r="G47" s="4"/>
      <c r="H47" s="4"/>
      <c r="I47" s="4"/>
    </row>
    <row r="48" spans="2:27">
      <c r="B48" s="2"/>
      <c r="C48" s="3"/>
      <c r="D48" s="4"/>
      <c r="E48" s="4"/>
      <c r="F48" s="4"/>
      <c r="G48" s="4"/>
      <c r="H48" s="4"/>
      <c r="I48" s="4"/>
    </row>
    <row r="49" spans="2:9">
      <c r="B49" s="2"/>
      <c r="C49" s="3"/>
      <c r="D49" s="4"/>
      <c r="E49" s="4"/>
      <c r="F49" s="4"/>
      <c r="G49" s="4"/>
      <c r="H49" s="4"/>
      <c r="I49" s="4"/>
    </row>
    <row r="50" spans="2:9">
      <c r="B50" s="2"/>
      <c r="C50" s="3"/>
      <c r="D50" s="4"/>
      <c r="E50" s="4"/>
      <c r="F50" s="4"/>
      <c r="G50" s="4"/>
      <c r="H50" s="4"/>
      <c r="I50" s="4"/>
    </row>
    <row r="51" spans="2:9">
      <c r="B51" s="2"/>
      <c r="C51" s="3"/>
      <c r="D51" s="4"/>
      <c r="E51" s="4"/>
      <c r="F51" s="4"/>
      <c r="G51" s="4"/>
      <c r="H51" s="4"/>
      <c r="I51" s="4"/>
    </row>
    <row r="52" spans="2:9">
      <c r="B52" s="2"/>
      <c r="C52" s="3"/>
      <c r="D52" s="4"/>
      <c r="E52" s="4"/>
      <c r="F52" s="4"/>
      <c r="G52" s="4"/>
      <c r="H52" s="4"/>
      <c r="I52" s="4"/>
    </row>
    <row r="53" spans="2:9">
      <c r="B53" s="2"/>
      <c r="C53" s="3"/>
      <c r="D53" s="4"/>
      <c r="E53" s="4"/>
      <c r="F53" s="4"/>
      <c r="G53" s="4"/>
      <c r="H53" s="4"/>
      <c r="I53" s="4"/>
    </row>
    <row r="54" spans="2:9">
      <c r="B54" s="2"/>
      <c r="C54" s="3"/>
      <c r="D54" s="4"/>
      <c r="E54" s="4"/>
      <c r="F54" s="4"/>
      <c r="G54" s="4"/>
      <c r="H54" s="4"/>
      <c r="I54" s="4"/>
    </row>
    <row r="55" spans="2:9">
      <c r="B55" s="2"/>
      <c r="C55" s="3"/>
      <c r="D55" s="4"/>
      <c r="E55" s="4"/>
      <c r="F55" s="4"/>
      <c r="G55" s="4"/>
      <c r="H55" s="4"/>
      <c r="I55" s="4"/>
    </row>
    <row r="56" spans="2:9">
      <c r="B56" s="2"/>
      <c r="C56" s="3"/>
      <c r="D56" s="4"/>
      <c r="E56" s="4"/>
      <c r="F56" s="4"/>
      <c r="G56" s="4"/>
      <c r="H56" s="4"/>
      <c r="I56" s="4"/>
    </row>
    <row r="57" spans="2:9">
      <c r="B57" s="2"/>
      <c r="C57" s="3"/>
      <c r="D57" s="4"/>
      <c r="E57" s="4"/>
      <c r="F57" s="4"/>
      <c r="G57" s="4"/>
      <c r="H57" s="4"/>
      <c r="I57" s="4"/>
    </row>
    <row r="58" spans="2:9">
      <c r="B58" s="2"/>
      <c r="C58" s="3"/>
      <c r="D58" s="4"/>
      <c r="E58" s="4"/>
      <c r="F58" s="4"/>
      <c r="G58" s="4"/>
      <c r="H58" s="4"/>
      <c r="I58" s="4"/>
    </row>
    <row r="59" spans="2:9">
      <c r="B59" s="2"/>
      <c r="C59" s="3"/>
      <c r="D59" s="4"/>
      <c r="E59" s="4"/>
      <c r="F59" s="4"/>
      <c r="G59" s="4"/>
      <c r="H59" s="4"/>
      <c r="I59" s="4"/>
    </row>
    <row r="60" spans="2:9">
      <c r="B60" s="2"/>
      <c r="C60" s="3"/>
      <c r="D60" s="4"/>
      <c r="E60" s="4"/>
      <c r="F60" s="4"/>
      <c r="G60" s="4"/>
      <c r="H60" s="4"/>
      <c r="I60" s="4"/>
    </row>
    <row r="61" spans="2:9">
      <c r="B61" s="2"/>
      <c r="C61" s="3"/>
      <c r="D61" s="4"/>
      <c r="E61" s="4"/>
      <c r="F61" s="4"/>
      <c r="G61" s="4"/>
      <c r="H61" s="4"/>
      <c r="I61" s="4"/>
    </row>
    <row r="62" spans="2:9">
      <c r="B62" s="2"/>
      <c r="C62" s="3"/>
      <c r="D62" s="4"/>
      <c r="E62" s="4"/>
      <c r="F62" s="4"/>
      <c r="G62" s="4"/>
      <c r="H62" s="4"/>
      <c r="I62" s="4"/>
    </row>
    <row r="63" spans="2:9">
      <c r="B63" s="2"/>
      <c r="C63" s="3"/>
      <c r="D63" s="4"/>
      <c r="E63" s="4"/>
      <c r="F63" s="4"/>
      <c r="G63" s="4"/>
      <c r="H63" s="4"/>
      <c r="I63" s="4"/>
    </row>
    <row r="64" spans="2:9">
      <c r="B64" s="2"/>
      <c r="C64" s="3"/>
      <c r="D64" s="4"/>
      <c r="E64" s="4"/>
      <c r="F64" s="4"/>
      <c r="G64" s="4"/>
      <c r="H64" s="4"/>
      <c r="I64" s="4"/>
    </row>
    <row r="65" spans="2:9">
      <c r="B65" s="2"/>
      <c r="C65" s="3"/>
      <c r="D65" s="4"/>
      <c r="E65" s="4"/>
      <c r="F65" s="4"/>
      <c r="G65" s="4"/>
      <c r="H65" s="4"/>
      <c r="I65" s="4"/>
    </row>
    <row r="66" spans="2:9">
      <c r="B66" s="2"/>
      <c r="C66" s="3"/>
      <c r="D66" s="4"/>
      <c r="E66" s="4"/>
      <c r="F66" s="4"/>
      <c r="G66" s="4"/>
      <c r="H66" s="4"/>
      <c r="I66" s="4"/>
    </row>
    <row r="67" spans="2:9">
      <c r="B67" s="2"/>
      <c r="C67" s="3"/>
      <c r="D67" s="4"/>
      <c r="E67" s="4"/>
      <c r="F67" s="4"/>
      <c r="G67" s="4"/>
      <c r="H67" s="4"/>
      <c r="I67" s="4"/>
    </row>
    <row r="68" spans="2:9">
      <c r="B68" s="2"/>
      <c r="C68" s="3"/>
      <c r="D68" s="4"/>
      <c r="E68" s="4"/>
      <c r="F68" s="4"/>
      <c r="G68" s="4"/>
      <c r="H68" s="4"/>
      <c r="I68" s="4"/>
    </row>
    <row r="69" spans="2:9">
      <c r="B69" s="2"/>
      <c r="C69" s="3"/>
      <c r="D69" s="4"/>
      <c r="E69" s="4"/>
      <c r="F69" s="4"/>
      <c r="G69" s="4"/>
      <c r="H69" s="4"/>
      <c r="I69" s="4"/>
    </row>
    <row r="70" spans="2:9">
      <c r="B70" s="2"/>
      <c r="C70" s="3"/>
      <c r="D70" s="4"/>
      <c r="E70" s="4"/>
      <c r="F70" s="4"/>
      <c r="G70" s="4"/>
      <c r="H70" s="4"/>
      <c r="I70" s="4"/>
    </row>
    <row r="71" spans="2:9">
      <c r="B71" s="2"/>
      <c r="C71" s="3"/>
      <c r="D71" s="4"/>
      <c r="E71" s="4"/>
      <c r="F71" s="4"/>
      <c r="G71" s="4"/>
      <c r="H71" s="4"/>
      <c r="I71" s="4"/>
    </row>
    <row r="72" spans="2:9">
      <c r="B72" s="2"/>
      <c r="C72" s="3"/>
      <c r="D72" s="4"/>
      <c r="E72" s="4"/>
      <c r="F72" s="4"/>
      <c r="G72" s="4"/>
      <c r="H72" s="4"/>
      <c r="I72" s="4"/>
    </row>
    <row r="73" spans="2:9">
      <c r="B73" s="2"/>
      <c r="C73" s="3"/>
      <c r="D73" s="4"/>
      <c r="E73" s="4"/>
      <c r="F73" s="4"/>
      <c r="G73" s="4"/>
      <c r="H73" s="4"/>
      <c r="I73" s="4"/>
    </row>
    <row r="74" spans="2:9">
      <c r="B74" s="2"/>
      <c r="C74" s="3"/>
      <c r="D74" s="4"/>
      <c r="E74" s="4"/>
      <c r="F74" s="4"/>
      <c r="G74" s="4"/>
      <c r="H74" s="4"/>
      <c r="I74" s="4"/>
    </row>
    <row r="75" spans="2:9">
      <c r="B75" s="2"/>
      <c r="C75" s="3"/>
      <c r="D75" s="4"/>
      <c r="E75" s="4"/>
      <c r="F75" s="4"/>
      <c r="G75" s="4"/>
      <c r="H75" s="4"/>
      <c r="I75" s="4"/>
    </row>
    <row r="76" spans="2:9">
      <c r="B76" s="2"/>
      <c r="C76" s="3"/>
      <c r="D76" s="4"/>
      <c r="E76" s="4"/>
      <c r="F76" s="4"/>
      <c r="G76" s="4"/>
      <c r="H76" s="4"/>
      <c r="I76" s="4"/>
    </row>
    <row r="77" spans="2:9">
      <c r="B77" s="2"/>
      <c r="C77" s="3"/>
      <c r="D77" s="4"/>
      <c r="E77" s="4"/>
      <c r="F77" s="4"/>
      <c r="G77" s="4"/>
      <c r="H77" s="4"/>
      <c r="I77" s="4"/>
    </row>
    <row r="78" spans="2:9">
      <c r="B78" s="2"/>
      <c r="C78" s="3"/>
      <c r="D78" s="4"/>
      <c r="E78" s="4"/>
      <c r="F78" s="4"/>
      <c r="G78" s="4"/>
      <c r="H78" s="4"/>
      <c r="I78" s="4"/>
    </row>
    <row r="79" spans="2:9">
      <c r="B79" s="2"/>
      <c r="C79" s="3"/>
      <c r="D79" s="4"/>
      <c r="E79" s="4"/>
      <c r="F79" s="4"/>
      <c r="G79" s="4"/>
      <c r="H79" s="4"/>
      <c r="I79" s="4"/>
    </row>
    <row r="80" spans="2:9">
      <c r="B80" s="2"/>
      <c r="C80" s="3"/>
      <c r="D80" s="4"/>
      <c r="E80" s="4"/>
      <c r="F80" s="4"/>
      <c r="G80" s="4"/>
      <c r="H80" s="4"/>
      <c r="I80" s="4"/>
    </row>
    <row r="81" spans="2:9">
      <c r="B81" s="2"/>
      <c r="C81" s="3"/>
      <c r="D81" s="4"/>
      <c r="E81" s="4"/>
      <c r="F81" s="4"/>
      <c r="G81" s="4"/>
      <c r="H81" s="4"/>
      <c r="I81" s="4"/>
    </row>
    <row r="82" spans="2:9">
      <c r="B82" s="2"/>
      <c r="C82" s="3"/>
      <c r="D82" s="4"/>
      <c r="E82" s="4"/>
      <c r="F82" s="4"/>
      <c r="G82" s="4"/>
      <c r="H82" s="4"/>
      <c r="I82" s="4"/>
    </row>
    <row r="83" spans="2:9">
      <c r="B83" s="2"/>
      <c r="C83" s="3"/>
      <c r="D83" s="4"/>
      <c r="E83" s="4"/>
      <c r="F83" s="4"/>
      <c r="G83" s="4"/>
      <c r="H83" s="4"/>
      <c r="I83" s="4"/>
    </row>
    <row r="84" spans="2:9">
      <c r="B84" s="2"/>
      <c r="C84" s="3"/>
      <c r="D84" s="4"/>
      <c r="E84" s="4"/>
      <c r="F84" s="4"/>
      <c r="G84" s="4"/>
      <c r="H84" s="4"/>
      <c r="I84" s="4"/>
    </row>
    <row r="85" spans="2:9">
      <c r="B85" s="2"/>
      <c r="C85" s="3"/>
      <c r="D85" s="4"/>
      <c r="E85" s="4"/>
      <c r="F85" s="4"/>
      <c r="G85" s="4"/>
      <c r="H85" s="4"/>
      <c r="I85" s="4"/>
    </row>
    <row r="86" spans="2:9">
      <c r="B86" s="2"/>
      <c r="C86" s="3"/>
      <c r="D86" s="4"/>
      <c r="E86" s="4"/>
      <c r="F86" s="4"/>
      <c r="G86" s="4"/>
      <c r="H86" s="4"/>
      <c r="I86" s="4"/>
    </row>
    <row r="87" spans="2:9">
      <c r="B87" s="2"/>
      <c r="C87" s="3"/>
      <c r="D87" s="4"/>
      <c r="E87" s="4"/>
      <c r="F87" s="4"/>
      <c r="G87" s="4"/>
      <c r="H87" s="4"/>
      <c r="I87" s="4"/>
    </row>
    <row r="88" spans="2:9">
      <c r="B88" s="2"/>
      <c r="C88" s="3"/>
      <c r="D88" s="4"/>
      <c r="E88" s="4"/>
      <c r="F88" s="4"/>
      <c r="G88" s="4"/>
      <c r="H88" s="4"/>
      <c r="I88" s="4"/>
    </row>
    <row r="89" spans="2:9">
      <c r="B89" s="2"/>
      <c r="C89" s="3"/>
      <c r="D89" s="4"/>
      <c r="E89" s="4"/>
      <c r="F89" s="4"/>
      <c r="G89" s="4"/>
      <c r="H89" s="4"/>
      <c r="I89" s="4"/>
    </row>
    <row r="90" spans="2:9">
      <c r="B90" s="2"/>
      <c r="C90" s="3"/>
      <c r="D90" s="4"/>
      <c r="E90" s="4"/>
      <c r="F90" s="4"/>
      <c r="G90" s="4"/>
      <c r="H90" s="4"/>
      <c r="I90" s="4"/>
    </row>
    <row r="91" spans="2:9">
      <c r="B91" s="2"/>
      <c r="C91" s="3"/>
      <c r="D91" s="4"/>
      <c r="E91" s="4"/>
      <c r="F91" s="4"/>
      <c r="G91" s="4"/>
      <c r="H91" s="4"/>
      <c r="I91" s="4"/>
    </row>
    <row r="92" spans="2:9">
      <c r="B92" s="2"/>
      <c r="C92" s="3"/>
      <c r="D92" s="4"/>
      <c r="E92" s="4"/>
      <c r="F92" s="4"/>
      <c r="G92" s="4"/>
      <c r="H92" s="4"/>
      <c r="I92" s="4"/>
    </row>
    <row r="93" spans="2:9">
      <c r="B93" s="2"/>
      <c r="C93" s="3"/>
      <c r="D93" s="4"/>
      <c r="E93" s="4"/>
      <c r="F93" s="4"/>
      <c r="G93" s="4"/>
      <c r="H93" s="4"/>
      <c r="I93" s="4"/>
    </row>
    <row r="94" spans="2:9">
      <c r="B94" s="2"/>
      <c r="C94" s="3"/>
      <c r="D94" s="4"/>
      <c r="E94" s="4"/>
      <c r="F94" s="4"/>
      <c r="G94" s="4"/>
      <c r="H94" s="4"/>
      <c r="I94" s="4"/>
    </row>
    <row r="95" spans="2:9">
      <c r="B95" s="2"/>
      <c r="C95" s="3"/>
      <c r="D95" s="4"/>
      <c r="E95" s="4"/>
      <c r="F95" s="4"/>
      <c r="G95" s="4"/>
      <c r="H95" s="4"/>
      <c r="I95" s="4"/>
    </row>
    <row r="96" spans="2:9">
      <c r="B96" s="2"/>
      <c r="C96" s="3"/>
      <c r="D96" s="4"/>
      <c r="E96" s="4"/>
      <c r="F96" s="4"/>
      <c r="G96" s="4"/>
      <c r="H96" s="4"/>
      <c r="I96" s="4"/>
    </row>
    <row r="97" spans="2:9">
      <c r="B97" s="2"/>
      <c r="C97" s="3"/>
      <c r="D97" s="4"/>
      <c r="E97" s="4"/>
      <c r="F97" s="4"/>
      <c r="G97" s="4"/>
      <c r="H97" s="4"/>
      <c r="I97" s="4"/>
    </row>
    <row r="98" spans="2:9">
      <c r="B98" s="2"/>
      <c r="C98" s="3"/>
      <c r="D98" s="4"/>
      <c r="E98" s="4"/>
      <c r="F98" s="4"/>
      <c r="G98" s="4"/>
      <c r="H98" s="4"/>
      <c r="I98" s="4"/>
    </row>
    <row r="99" spans="2:9">
      <c r="B99" s="2"/>
      <c r="C99" s="3"/>
      <c r="D99" s="4"/>
      <c r="E99" s="4"/>
      <c r="F99" s="4"/>
      <c r="G99" s="4"/>
      <c r="H99" s="4"/>
      <c r="I99" s="4"/>
    </row>
    <row r="100" spans="2:9">
      <c r="B100" s="2"/>
      <c r="C100" s="3"/>
      <c r="D100" s="4"/>
      <c r="E100" s="4"/>
      <c r="F100" s="4"/>
      <c r="G100" s="4"/>
      <c r="H100" s="4"/>
      <c r="I100" s="4"/>
    </row>
    <row r="101" spans="2:9">
      <c r="B101" s="2"/>
      <c r="C101" s="3"/>
      <c r="D101" s="4"/>
      <c r="E101" s="4"/>
      <c r="F101" s="4"/>
      <c r="G101" s="4"/>
      <c r="H101" s="4"/>
      <c r="I101" s="4"/>
    </row>
    <row r="102" spans="2:9">
      <c r="B102" s="2"/>
      <c r="C102" s="3"/>
      <c r="D102" s="4"/>
      <c r="E102" s="4"/>
      <c r="F102" s="4"/>
      <c r="G102" s="4"/>
      <c r="H102" s="4"/>
      <c r="I102" s="4"/>
    </row>
    <row r="103" spans="2:9">
      <c r="B103" s="2"/>
      <c r="C103" s="3"/>
      <c r="D103" s="4"/>
      <c r="E103" s="4"/>
      <c r="F103" s="4"/>
      <c r="G103" s="4"/>
      <c r="H103" s="4"/>
      <c r="I103" s="4"/>
    </row>
    <row r="104" spans="2:9">
      <c r="B104" s="2"/>
      <c r="C104" s="3"/>
      <c r="D104" s="4"/>
      <c r="E104" s="4"/>
      <c r="F104" s="4"/>
      <c r="G104" s="4"/>
      <c r="H104" s="4"/>
      <c r="I104" s="4"/>
    </row>
    <row r="105" spans="2:9">
      <c r="B105" s="2"/>
      <c r="C105" s="3"/>
      <c r="D105" s="4"/>
      <c r="E105" s="4"/>
      <c r="F105" s="4"/>
      <c r="G105" s="4"/>
      <c r="H105" s="4"/>
      <c r="I105" s="4"/>
    </row>
    <row r="106" spans="2:9">
      <c r="B106" s="2"/>
      <c r="C106" s="3"/>
      <c r="D106" s="4"/>
      <c r="E106" s="4"/>
      <c r="F106" s="4"/>
      <c r="G106" s="4"/>
      <c r="H106" s="4"/>
      <c r="I106" s="4"/>
    </row>
    <row r="107" spans="2:9">
      <c r="B107" s="2"/>
      <c r="C107" s="3"/>
      <c r="D107" s="4"/>
      <c r="E107" s="4"/>
      <c r="F107" s="4"/>
      <c r="G107" s="4"/>
      <c r="H107" s="4"/>
      <c r="I107" s="4"/>
    </row>
    <row r="108" spans="2:9">
      <c r="B108" s="2"/>
      <c r="C108" s="3"/>
      <c r="D108" s="4"/>
      <c r="E108" s="4"/>
      <c r="F108" s="4"/>
      <c r="G108" s="4"/>
      <c r="H108" s="4"/>
      <c r="I108" s="4"/>
    </row>
    <row r="109" spans="2:9">
      <c r="B109" s="2"/>
      <c r="C109" s="3"/>
      <c r="D109" s="4"/>
      <c r="E109" s="4"/>
      <c r="F109" s="4"/>
      <c r="G109" s="4"/>
      <c r="H109" s="4"/>
      <c r="I109" s="4"/>
    </row>
    <row r="110" spans="2:9">
      <c r="B110" s="2"/>
      <c r="C110" s="3"/>
      <c r="D110" s="4"/>
      <c r="E110" s="4"/>
      <c r="F110" s="4"/>
      <c r="G110" s="4"/>
      <c r="H110" s="4"/>
      <c r="I110" s="4"/>
    </row>
    <row r="111" spans="2:9">
      <c r="B111" s="2"/>
      <c r="C111" s="3"/>
      <c r="D111" s="4"/>
      <c r="E111" s="4"/>
      <c r="F111" s="4"/>
      <c r="G111" s="4"/>
      <c r="H111" s="4"/>
      <c r="I111" s="4"/>
    </row>
    <row r="112" spans="2:9">
      <c r="B112" s="2"/>
      <c r="C112" s="3"/>
      <c r="D112" s="4"/>
      <c r="E112" s="4"/>
      <c r="F112" s="4"/>
      <c r="G112" s="4"/>
      <c r="H112" s="4"/>
      <c r="I112" s="4"/>
    </row>
    <row r="113" spans="2:9">
      <c r="B113" s="2"/>
      <c r="C113" s="3"/>
      <c r="D113" s="4"/>
      <c r="E113" s="4"/>
      <c r="F113" s="4"/>
      <c r="G113" s="4"/>
      <c r="H113" s="4"/>
      <c r="I113" s="4"/>
    </row>
    <row r="114" spans="2:9">
      <c r="B114" s="2"/>
      <c r="C114" s="3"/>
      <c r="D114" s="4"/>
      <c r="E114" s="4"/>
      <c r="F114" s="4"/>
      <c r="G114" s="4"/>
      <c r="H114" s="4"/>
      <c r="I114" s="4"/>
    </row>
    <row r="115" spans="2:9">
      <c r="B115" s="2"/>
      <c r="C115" s="3"/>
      <c r="D115" s="4"/>
      <c r="E115" s="4"/>
      <c r="F115" s="4"/>
      <c r="G115" s="4"/>
      <c r="H115" s="4"/>
      <c r="I115" s="4"/>
    </row>
    <row r="116" spans="2:9">
      <c r="B116" s="2"/>
      <c r="C116" s="3"/>
      <c r="D116" s="4"/>
      <c r="E116" s="4"/>
      <c r="F116" s="4"/>
      <c r="G116" s="4"/>
      <c r="H116" s="4"/>
      <c r="I116" s="4"/>
    </row>
    <row r="117" spans="2:9">
      <c r="B117" s="2"/>
      <c r="C117" s="3"/>
      <c r="D117" s="4"/>
      <c r="E117" s="4"/>
      <c r="F117" s="4"/>
      <c r="G117" s="4"/>
      <c r="H117" s="4"/>
      <c r="I117" s="4"/>
    </row>
    <row r="118" spans="2:9">
      <c r="B118" s="2"/>
      <c r="C118" s="3"/>
      <c r="D118" s="4"/>
      <c r="E118" s="4"/>
      <c r="F118" s="4"/>
      <c r="G118" s="4"/>
      <c r="H118" s="4"/>
      <c r="I118" s="4"/>
    </row>
    <row r="119" spans="2:9">
      <c r="B119" s="2"/>
      <c r="C119" s="3"/>
      <c r="D119" s="4"/>
      <c r="E119" s="4"/>
      <c r="F119" s="4"/>
      <c r="G119" s="4"/>
      <c r="H119" s="4"/>
      <c r="I119" s="4"/>
    </row>
    <row r="120" spans="2:9">
      <c r="B120" s="2"/>
      <c r="C120" s="3"/>
      <c r="D120" s="4"/>
      <c r="E120" s="4"/>
      <c r="F120" s="4"/>
      <c r="G120" s="4"/>
      <c r="H120" s="4"/>
      <c r="I120" s="4"/>
    </row>
    <row r="121" spans="2:9">
      <c r="B121" s="2"/>
      <c r="C121" s="3"/>
      <c r="D121" s="4"/>
      <c r="E121" s="4"/>
      <c r="F121" s="4"/>
      <c r="G121" s="4"/>
      <c r="H121" s="4"/>
      <c r="I121" s="4"/>
    </row>
    <row r="122" spans="2:9">
      <c r="B122" s="2"/>
      <c r="C122" s="3"/>
      <c r="D122" s="4"/>
      <c r="E122" s="4"/>
      <c r="F122" s="4"/>
      <c r="G122" s="4"/>
      <c r="H122" s="4"/>
      <c r="I122" s="4"/>
    </row>
    <row r="123" spans="2:9">
      <c r="B123" s="2"/>
      <c r="C123" s="3"/>
      <c r="D123" s="4"/>
      <c r="E123" s="4"/>
      <c r="F123" s="4"/>
      <c r="G123" s="4"/>
      <c r="H123" s="4"/>
      <c r="I123" s="4"/>
    </row>
    <row r="124" spans="2:9">
      <c r="B124" s="2"/>
      <c r="C124" s="3"/>
      <c r="D124" s="4"/>
      <c r="E124" s="4"/>
      <c r="F124" s="4"/>
      <c r="G124" s="4"/>
      <c r="H124" s="4"/>
      <c r="I124" s="4"/>
    </row>
    <row r="125" spans="2:9">
      <c r="B125" s="2"/>
      <c r="C125" s="3"/>
      <c r="D125" s="4"/>
      <c r="E125" s="4"/>
      <c r="F125" s="4"/>
      <c r="G125" s="4"/>
      <c r="H125" s="4"/>
      <c r="I125" s="4"/>
    </row>
    <row r="126" spans="2:9">
      <c r="B126" s="2"/>
      <c r="C126" s="3"/>
      <c r="D126" s="4"/>
      <c r="E126" s="4"/>
      <c r="F126" s="4"/>
      <c r="G126" s="4"/>
      <c r="H126" s="4"/>
      <c r="I126" s="4"/>
    </row>
    <row r="127" spans="2:9">
      <c r="B127" s="2"/>
      <c r="C127" s="3"/>
      <c r="D127" s="4"/>
      <c r="E127" s="4"/>
      <c r="F127" s="4"/>
      <c r="G127" s="4"/>
      <c r="H127" s="4"/>
      <c r="I127" s="4"/>
    </row>
    <row r="128" spans="2:9">
      <c r="B128" s="2"/>
      <c r="C128" s="3"/>
      <c r="D128" s="4"/>
      <c r="E128" s="4"/>
      <c r="F128" s="4"/>
      <c r="G128" s="4"/>
      <c r="H128" s="4"/>
      <c r="I128" s="4"/>
    </row>
    <row r="129" spans="2:9">
      <c r="B129" s="2"/>
      <c r="C129" s="3"/>
      <c r="D129" s="4"/>
      <c r="E129" s="4"/>
      <c r="F129" s="4"/>
      <c r="G129" s="4"/>
      <c r="H129" s="4"/>
      <c r="I129" s="4"/>
    </row>
    <row r="130" spans="2:9">
      <c r="B130" s="2"/>
      <c r="C130" s="3"/>
      <c r="D130" s="4"/>
      <c r="E130" s="4"/>
      <c r="F130" s="4"/>
      <c r="G130" s="4"/>
      <c r="H130" s="4"/>
      <c r="I130" s="4"/>
    </row>
    <row r="131" spans="2:9">
      <c r="B131" s="2"/>
      <c r="C131" s="3"/>
      <c r="D131" s="4"/>
      <c r="E131" s="4"/>
      <c r="F131" s="4"/>
      <c r="G131" s="4"/>
      <c r="H131" s="4"/>
      <c r="I131" s="4"/>
    </row>
    <row r="132" spans="2:9">
      <c r="B132" s="2"/>
      <c r="C132" s="3"/>
      <c r="D132" s="4"/>
      <c r="E132" s="4"/>
      <c r="F132" s="4"/>
      <c r="G132" s="4"/>
      <c r="H132" s="4"/>
      <c r="I132" s="4"/>
    </row>
    <row r="133" spans="2:9">
      <c r="B133" s="2"/>
      <c r="C133" s="3"/>
      <c r="D133" s="4"/>
      <c r="E133" s="4"/>
      <c r="F133" s="4"/>
      <c r="G133" s="4"/>
      <c r="H133" s="4"/>
      <c r="I133" s="4"/>
    </row>
    <row r="134" spans="2:9">
      <c r="B134" s="2"/>
      <c r="C134" s="3"/>
      <c r="D134" s="4"/>
      <c r="E134" s="4"/>
      <c r="F134" s="4"/>
      <c r="G134" s="4"/>
      <c r="H134" s="4"/>
      <c r="I134" s="4"/>
    </row>
    <row r="135" spans="2:9">
      <c r="B135" s="2"/>
      <c r="C135" s="3"/>
      <c r="D135" s="4"/>
      <c r="E135" s="4"/>
      <c r="F135" s="4"/>
      <c r="G135" s="4"/>
      <c r="H135" s="4"/>
      <c r="I135" s="4"/>
    </row>
    <row r="136" spans="2:9">
      <c r="B136" s="2"/>
      <c r="C136" s="3"/>
      <c r="D136" s="4"/>
      <c r="E136" s="4"/>
      <c r="F136" s="4"/>
      <c r="G136" s="4"/>
      <c r="H136" s="4"/>
      <c r="I136" s="4"/>
    </row>
    <row r="137" spans="2:9">
      <c r="B137" s="2"/>
      <c r="C137" s="3"/>
      <c r="D137" s="4"/>
      <c r="E137" s="4"/>
      <c r="F137" s="4"/>
      <c r="G137" s="4"/>
      <c r="H137" s="4"/>
      <c r="I137" s="4"/>
    </row>
    <row r="138" spans="2:9">
      <c r="B138" s="2"/>
      <c r="C138" s="3"/>
      <c r="D138" s="4"/>
      <c r="E138" s="4"/>
      <c r="F138" s="4"/>
      <c r="G138" s="4"/>
      <c r="H138" s="4"/>
      <c r="I138" s="4"/>
    </row>
    <row r="139" spans="2:9">
      <c r="B139" s="2"/>
      <c r="C139" s="3"/>
      <c r="D139" s="4"/>
      <c r="E139" s="4"/>
      <c r="F139" s="4"/>
      <c r="G139" s="4"/>
      <c r="H139" s="4"/>
      <c r="I139" s="4"/>
    </row>
    <row r="140" spans="2:9">
      <c r="B140" s="2"/>
      <c r="C140" s="3"/>
      <c r="D140" s="4"/>
      <c r="E140" s="4"/>
      <c r="F140" s="4"/>
      <c r="G140" s="4"/>
      <c r="H140" s="4"/>
      <c r="I140" s="4"/>
    </row>
    <row r="141" spans="2:9">
      <c r="B141" s="2"/>
      <c r="C141" s="3"/>
      <c r="D141" s="4"/>
      <c r="E141" s="4"/>
      <c r="F141" s="4"/>
      <c r="G141" s="4"/>
      <c r="H141" s="4"/>
      <c r="I141" s="4"/>
    </row>
    <row r="142" spans="2:9">
      <c r="B142" s="2"/>
      <c r="C142" s="3"/>
      <c r="D142" s="4"/>
      <c r="E142" s="4"/>
      <c r="F142" s="4"/>
      <c r="G142" s="4"/>
      <c r="H142" s="4"/>
      <c r="I142" s="4"/>
    </row>
    <row r="143" spans="2:9">
      <c r="B143" s="2"/>
      <c r="C143" s="3"/>
      <c r="D143" s="4"/>
      <c r="E143" s="4"/>
      <c r="F143" s="4"/>
      <c r="G143" s="4"/>
      <c r="H143" s="4"/>
      <c r="I143" s="4"/>
    </row>
    <row r="144" spans="2:9">
      <c r="B144" s="2"/>
      <c r="C144" s="3"/>
      <c r="D144" s="4"/>
      <c r="E144" s="4"/>
      <c r="F144" s="4"/>
      <c r="G144" s="4"/>
      <c r="H144" s="4"/>
      <c r="I144" s="4"/>
    </row>
    <row r="145" spans="2:9">
      <c r="B145" s="2"/>
      <c r="C145" s="3"/>
      <c r="D145" s="4"/>
      <c r="E145" s="4"/>
      <c r="F145" s="4"/>
      <c r="G145" s="4"/>
      <c r="H145" s="4"/>
      <c r="I145" s="4"/>
    </row>
    <row r="146" spans="2:9">
      <c r="B146" s="2"/>
      <c r="C146" s="3"/>
      <c r="D146" s="4"/>
      <c r="E146" s="4"/>
      <c r="F146" s="4"/>
      <c r="G146" s="4"/>
      <c r="H146" s="4"/>
      <c r="I146" s="4"/>
    </row>
    <row r="147" spans="2:9">
      <c r="B147" s="2"/>
      <c r="C147" s="3"/>
      <c r="D147" s="4"/>
      <c r="E147" s="4"/>
      <c r="F147" s="4"/>
      <c r="G147" s="4"/>
      <c r="H147" s="4"/>
      <c r="I147" s="4"/>
    </row>
    <row r="148" spans="2:9">
      <c r="B148" s="2"/>
      <c r="C148" s="3"/>
      <c r="D148" s="4"/>
      <c r="E148" s="4"/>
      <c r="F148" s="4"/>
      <c r="G148" s="4"/>
      <c r="H148" s="4"/>
      <c r="I148" s="4"/>
    </row>
    <row r="149" spans="2:9">
      <c r="B149" s="2"/>
      <c r="C149" s="3"/>
      <c r="D149" s="4"/>
      <c r="E149" s="4"/>
      <c r="F149" s="4"/>
      <c r="G149" s="4"/>
      <c r="H149" s="4"/>
      <c r="I149" s="4"/>
    </row>
    <row r="150" spans="2:9">
      <c r="B150" s="2"/>
      <c r="C150" s="3"/>
      <c r="D150" s="4"/>
      <c r="E150" s="4"/>
      <c r="F150" s="4"/>
      <c r="G150" s="4"/>
      <c r="H150" s="4"/>
      <c r="I150" s="4"/>
    </row>
    <row r="151" spans="2:9">
      <c r="B151" s="2"/>
      <c r="C151" s="3"/>
      <c r="D151" s="4"/>
      <c r="E151" s="4"/>
      <c r="F151" s="4"/>
      <c r="G151" s="4"/>
      <c r="H151" s="4"/>
      <c r="I151" s="4"/>
    </row>
    <row r="152" spans="2:9">
      <c r="B152" s="2"/>
      <c r="C152" s="3"/>
      <c r="D152" s="4"/>
      <c r="E152" s="4"/>
      <c r="F152" s="4"/>
      <c r="G152" s="4"/>
      <c r="H152" s="4"/>
      <c r="I152" s="4"/>
    </row>
    <row r="153" spans="2:9">
      <c r="B153" s="2"/>
      <c r="C153" s="3"/>
      <c r="D153" s="4"/>
      <c r="E153" s="4"/>
      <c r="F153" s="4"/>
      <c r="G153" s="4"/>
      <c r="H153" s="4"/>
      <c r="I153" s="4"/>
    </row>
    <row r="154" spans="2:9">
      <c r="B154" s="2"/>
      <c r="C154" s="3"/>
      <c r="D154" s="4"/>
      <c r="E154" s="4"/>
      <c r="F154" s="4"/>
      <c r="G154" s="4"/>
      <c r="H154" s="4"/>
      <c r="I154" s="4"/>
    </row>
    <row r="155" spans="2:9">
      <c r="B155" s="2"/>
      <c r="C155" s="3"/>
      <c r="D155" s="4"/>
      <c r="E155" s="4"/>
      <c r="F155" s="4"/>
      <c r="G155" s="4"/>
      <c r="H155" s="4"/>
      <c r="I155" s="4"/>
    </row>
    <row r="156" spans="2:9">
      <c r="B156" s="2"/>
      <c r="C156" s="3"/>
      <c r="D156" s="4"/>
      <c r="E156" s="4"/>
      <c r="F156" s="4"/>
      <c r="G156" s="4"/>
      <c r="H156" s="4"/>
      <c r="I156" s="4"/>
    </row>
    <row r="157" spans="2:9">
      <c r="B157" s="2"/>
      <c r="C157" s="3"/>
      <c r="D157" s="4"/>
      <c r="E157" s="4"/>
      <c r="F157" s="4"/>
      <c r="G157" s="4"/>
      <c r="H157" s="4"/>
      <c r="I157" s="4"/>
    </row>
    <row r="158" spans="2:9">
      <c r="B158" s="2"/>
      <c r="C158" s="3"/>
      <c r="D158" s="4"/>
      <c r="E158" s="4"/>
      <c r="F158" s="4"/>
      <c r="G158" s="4"/>
      <c r="H158" s="4"/>
      <c r="I158" s="4"/>
    </row>
    <row r="159" spans="2:9">
      <c r="B159" s="2"/>
      <c r="C159" s="3"/>
      <c r="D159" s="4"/>
      <c r="E159" s="4"/>
      <c r="F159" s="4"/>
      <c r="G159" s="4"/>
      <c r="H159" s="4"/>
      <c r="I159" s="4"/>
    </row>
    <row r="160" spans="2:9">
      <c r="B160" s="2"/>
      <c r="C160" s="3"/>
      <c r="D160" s="4"/>
      <c r="E160" s="4"/>
      <c r="F160" s="4"/>
      <c r="G160" s="4"/>
      <c r="H160" s="4"/>
      <c r="I160" s="4"/>
    </row>
    <row r="161" spans="2:9">
      <c r="B161" s="2"/>
      <c r="C161" s="3"/>
      <c r="D161" s="4"/>
      <c r="E161" s="4"/>
      <c r="F161" s="4"/>
      <c r="G161" s="4"/>
      <c r="H161" s="4"/>
      <c r="I161" s="4"/>
    </row>
    <row r="162" spans="2:9">
      <c r="B162" s="2"/>
      <c r="C162" s="3"/>
      <c r="D162" s="4"/>
      <c r="E162" s="4"/>
      <c r="F162" s="4"/>
      <c r="G162" s="4"/>
      <c r="H162" s="4"/>
      <c r="I162" s="4"/>
    </row>
    <row r="163" spans="2:9">
      <c r="B163" s="2"/>
      <c r="C163" s="3"/>
      <c r="D163" s="4"/>
      <c r="E163" s="4"/>
      <c r="F163" s="4"/>
      <c r="G163" s="4"/>
      <c r="H163" s="4"/>
      <c r="I163" s="4"/>
    </row>
    <row r="164" spans="2:9">
      <c r="B164" s="2"/>
      <c r="C164" s="3"/>
      <c r="D164" s="4"/>
      <c r="E164" s="4"/>
      <c r="F164" s="4"/>
      <c r="G164" s="4"/>
      <c r="H164" s="4"/>
      <c r="I164" s="4"/>
    </row>
    <row r="165" spans="2:9">
      <c r="B165" s="2"/>
      <c r="C165" s="3"/>
      <c r="D165" s="4"/>
      <c r="E165" s="4"/>
      <c r="F165" s="4"/>
      <c r="G165" s="4"/>
      <c r="H165" s="4"/>
      <c r="I165" s="4"/>
    </row>
    <row r="166" spans="2:9">
      <c r="B166" s="2"/>
      <c r="C166" s="3"/>
      <c r="D166" s="4"/>
      <c r="E166" s="4"/>
      <c r="F166" s="4"/>
      <c r="G166" s="4"/>
      <c r="H166" s="4"/>
      <c r="I166" s="4"/>
    </row>
    <row r="167" spans="2:9">
      <c r="B167" s="2"/>
      <c r="C167" s="3"/>
      <c r="D167" s="4"/>
      <c r="E167" s="4"/>
      <c r="F167" s="4"/>
      <c r="G167" s="4"/>
      <c r="H167" s="4"/>
      <c r="I167" s="4"/>
    </row>
    <row r="168" spans="2:9">
      <c r="B168" s="2"/>
      <c r="C168" s="3"/>
      <c r="D168" s="4"/>
      <c r="E168" s="4"/>
      <c r="F168" s="4"/>
      <c r="G168" s="4"/>
      <c r="H168" s="4"/>
      <c r="I168" s="4"/>
    </row>
    <row r="169" spans="2:9">
      <c r="B169" s="2"/>
      <c r="C169" s="3"/>
      <c r="D169" s="4"/>
      <c r="E169" s="4"/>
      <c r="F169" s="4"/>
      <c r="G169" s="4"/>
      <c r="H169" s="4"/>
      <c r="I169" s="4"/>
    </row>
    <row r="170" spans="2:9">
      <c r="B170" s="2"/>
      <c r="C170" s="3"/>
      <c r="D170" s="4"/>
      <c r="E170" s="4"/>
      <c r="F170" s="4"/>
      <c r="G170" s="4"/>
      <c r="H170" s="4"/>
      <c r="I170" s="4"/>
    </row>
    <row r="171" spans="2:9">
      <c r="B171" s="2"/>
      <c r="C171" s="3"/>
      <c r="D171" s="4"/>
      <c r="E171" s="4"/>
      <c r="F171" s="4"/>
      <c r="G171" s="4"/>
      <c r="H171" s="4"/>
      <c r="I171" s="4"/>
    </row>
    <row r="172" spans="2:9">
      <c r="B172" s="2"/>
      <c r="C172" s="3"/>
      <c r="D172" s="4"/>
      <c r="E172" s="4"/>
      <c r="F172" s="4"/>
      <c r="G172" s="4"/>
      <c r="H172" s="4"/>
      <c r="I172" s="4"/>
    </row>
    <row r="173" spans="2:9">
      <c r="B173" s="2"/>
      <c r="C173" s="3"/>
      <c r="D173" s="4"/>
      <c r="E173" s="4"/>
      <c r="F173" s="4"/>
      <c r="G173" s="4"/>
      <c r="H173" s="4"/>
      <c r="I173" s="4"/>
    </row>
    <row r="174" spans="2:9">
      <c r="B174" s="2"/>
      <c r="C174" s="3"/>
      <c r="D174" s="4"/>
      <c r="E174" s="4"/>
      <c r="F174" s="4"/>
      <c r="G174" s="4"/>
      <c r="H174" s="4"/>
      <c r="I174" s="4"/>
    </row>
    <row r="175" spans="2:9">
      <c r="B175" s="2"/>
      <c r="C175" s="3"/>
      <c r="D175" s="4"/>
      <c r="E175" s="4"/>
      <c r="F175" s="4"/>
      <c r="G175" s="4"/>
      <c r="H175" s="4"/>
      <c r="I175" s="4"/>
    </row>
    <row r="176" spans="2:9">
      <c r="B176" s="2"/>
      <c r="C176" s="3"/>
      <c r="D176" s="4"/>
      <c r="E176" s="4"/>
      <c r="F176" s="4"/>
      <c r="G176" s="4"/>
      <c r="H176" s="4"/>
      <c r="I176" s="4"/>
    </row>
    <row r="177" spans="2:9">
      <c r="B177" s="2"/>
      <c r="C177" s="3"/>
      <c r="D177" s="4"/>
      <c r="E177" s="4"/>
      <c r="F177" s="4"/>
      <c r="G177" s="4"/>
      <c r="H177" s="4"/>
      <c r="I177" s="4"/>
    </row>
    <row r="178" spans="2:9">
      <c r="D178" s="4"/>
      <c r="E178" s="4"/>
      <c r="F178" s="4"/>
      <c r="G178" s="4"/>
      <c r="H178" s="4"/>
      <c r="I178" s="4"/>
    </row>
  </sheetData>
  <dataValidations count="12">
    <dataValidation type="list" allowBlank="1" showInputMessage="1" showErrorMessage="1" sqref="C18:C25 C27:C30" xr:uid="{00000000-0002-0000-0300-000000000000}">
      <formula1>RatingScaleList</formula1>
    </dataValidation>
    <dataValidation type="list" allowBlank="1" showInputMessage="1" showErrorMessage="1" sqref="C14" xr:uid="{00000000-0002-0000-0300-000001000000}">
      <formula1>AccountingPrinciplesList</formula1>
    </dataValidation>
    <dataValidation type="list" allowBlank="1" showInputMessage="1" showErrorMessage="1" sqref="C13" xr:uid="{00000000-0002-0000-0300-000002000000}">
      <formula1>CountryList</formula1>
    </dataValidation>
    <dataValidation type="list" allowBlank="1" showInputMessage="1" showErrorMessage="1" sqref="C12" xr:uid="{00000000-0002-0000-0300-000003000000}">
      <formula1>CurrencyList</formula1>
    </dataValidation>
    <dataValidation type="list" allowBlank="1" showInputMessage="1" showErrorMessage="1" sqref="C15" xr:uid="{00000000-0002-0000-0300-000004000000}">
      <formula1>MonthList</formula1>
    </dataValidation>
    <dataValidation type="list" allowBlank="1" showInputMessage="1" showErrorMessage="1" sqref="C31" xr:uid="{00000000-0002-0000-0300-000005000000}">
      <formula1>NotchingList</formula1>
    </dataValidation>
    <dataValidation type="list" allowBlank="1" showInputMessage="1" showErrorMessage="1" sqref="C7:I7" xr:uid="{00000000-0002-0000-0300-000006000000}">
      <formula1>SectorList</formula1>
    </dataValidation>
    <dataValidation type="list" allowBlank="1" showInputMessage="1" showErrorMessage="1" sqref="C5:I5" xr:uid="{00000000-0002-0000-0300-000007000000}">
      <formula1>MethodologyList</formula1>
    </dataValidation>
    <dataValidation type="list" allowBlank="1" showInputMessage="1" showErrorMessage="1" sqref="C3" xr:uid="{00000000-0002-0000-0300-000008000000}">
      <formula1>CorporateSectorList</formula1>
    </dataValidation>
    <dataValidation type="list" allowBlank="1" showInputMessage="1" showErrorMessage="1" sqref="C10" xr:uid="{00000000-0002-0000-0300-000009000000}">
      <formula1>SegmentationCriteriaList</formula1>
    </dataValidation>
    <dataValidation type="list" allowBlank="1" showInputMessage="1" showErrorMessage="1" sqref="C9:I9" xr:uid="{00000000-0002-0000-0300-00000A000000}">
      <formula1>IndustryWeightList</formula1>
    </dataValidation>
    <dataValidation type="list" allowBlank="1" showInputMessage="1" showErrorMessage="1" sqref="C8:I8" xr:uid="{00000000-0002-0000-0300-00000B000000}">
      <formula1>SectorRiskScoreList</formula1>
    </dataValidation>
  </dataValidations>
  <pageMargins left="0.7" right="0.7" top="0.75" bottom="0.75" header="0.3" footer="0.3"/>
  <pageSetup paperSize="9" orientation="portrait"/>
  <headerFooter>
    <oddHeader>&amp;R&amp;"Calibri"&amp;1 &amp;K0000FF Internal Document#_x000D_</oddHeader>
  </headerFooter>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Arbeitsblätter</vt:lpstr>
      </vt:variant>
      <vt:variant>
        <vt:i4>4</vt:i4>
      </vt:variant>
      <vt:variant>
        <vt:lpstr>Benannte Bereiche</vt:lpstr>
      </vt:variant>
      <vt:variant>
        <vt:i4>90</vt:i4>
      </vt:variant>
    </vt:vector>
  </HeadingPairs>
  <TitlesOfParts>
    <vt:vector size="94" baseType="lpstr">
      <vt:lpstr>BusinessRiskProfiles</vt:lpstr>
      <vt:lpstr>ListData</vt:lpstr>
      <vt:lpstr>Settings</vt:lpstr>
      <vt:lpstr>MASTER</vt:lpstr>
      <vt:lpstr>MASTER!AccountingPrinciples</vt:lpstr>
      <vt:lpstr>AccountingPrinciplesList</vt:lpstr>
      <vt:lpstr>MASTER!AddFactors</vt:lpstr>
      <vt:lpstr>MASTER!BRP</vt:lpstr>
      <vt:lpstr>MASTER!CashflowGeneration</vt:lpstr>
      <vt:lpstr>MASTER!CompetitivePositioning</vt:lpstr>
      <vt:lpstr>MASTER!CorporateSector</vt:lpstr>
      <vt:lpstr>CorporateSectorList</vt:lpstr>
      <vt:lpstr>MASTER!Country</vt:lpstr>
      <vt:lpstr>CountryList</vt:lpstr>
      <vt:lpstr>MASTER!Currency</vt:lpstr>
      <vt:lpstr>CurrencyList</vt:lpstr>
      <vt:lpstr>DayList</vt:lpstr>
      <vt:lpstr>MASTER!DebtProtection</vt:lpstr>
      <vt:lpstr>DiscretionaryCashFlowList</vt:lpstr>
      <vt:lpstr>MASTER!Diversification</vt:lpstr>
      <vt:lpstr>MASTER!EndofBusinessYearDay</vt:lpstr>
      <vt:lpstr>MASTER!EndofBusinessYearMonth</vt:lpstr>
      <vt:lpstr>FreeoperatingcashflowList</vt:lpstr>
      <vt:lpstr>FrequencyList</vt:lpstr>
      <vt:lpstr>MASTER!FRP</vt:lpstr>
      <vt:lpstr>HeadingsList</vt:lpstr>
      <vt:lpstr>MASTER!IndustryRisk1</vt:lpstr>
      <vt:lpstr>MASTER!IndustryRisk2</vt:lpstr>
      <vt:lpstr>MASTER!IndustryRisk3</vt:lpstr>
      <vt:lpstr>MASTER!IndustryRisk4</vt:lpstr>
      <vt:lpstr>MASTER!IndustryRisk5</vt:lpstr>
      <vt:lpstr>MASTER!IndustryRisk6</vt:lpstr>
      <vt:lpstr>MASTER!IndustryRisk7</vt:lpstr>
      <vt:lpstr>MASTER!IndustryRiskScore1</vt:lpstr>
      <vt:lpstr>MASTER!IndustryRiskScore2</vt:lpstr>
      <vt:lpstr>MASTER!IndustryRiskScore3</vt:lpstr>
      <vt:lpstr>MASTER!IndustryRiskScore4</vt:lpstr>
      <vt:lpstr>MASTER!IndustryRiskScore5</vt:lpstr>
      <vt:lpstr>MASTER!IndustryRiskScore6</vt:lpstr>
      <vt:lpstr>MASTER!IndustryRiskScore7</vt:lpstr>
      <vt:lpstr>MASTER!IndustryWeight1</vt:lpstr>
      <vt:lpstr>MASTER!IndustryWeight2</vt:lpstr>
      <vt:lpstr>MASTER!IndustryWeight3</vt:lpstr>
      <vt:lpstr>MASTER!IndustryWeight4</vt:lpstr>
      <vt:lpstr>MASTER!IndustryWeight5</vt:lpstr>
      <vt:lpstr>MASTER!IndustryWeight6</vt:lpstr>
      <vt:lpstr>MASTER!IndustryWeight7</vt:lpstr>
      <vt:lpstr>IndustryWeightList</vt:lpstr>
      <vt:lpstr>MASTER!IRP</vt:lpstr>
      <vt:lpstr>IssuerIdList</vt:lpstr>
      <vt:lpstr>MASTER!Leverage</vt:lpstr>
      <vt:lpstr>LiquidityList</vt:lpstr>
      <vt:lpstr>MASTER!LiquidityScore</vt:lpstr>
      <vt:lpstr>LTVList</vt:lpstr>
      <vt:lpstr>MASTER!MarketPosition</vt:lpstr>
      <vt:lpstr>MASTERAddressList</vt:lpstr>
      <vt:lpstr>MASTERFirstColumnAddressList</vt:lpstr>
      <vt:lpstr>MASTERFirstColumnNameList</vt:lpstr>
      <vt:lpstr>MASTERHeaderList</vt:lpstr>
      <vt:lpstr>MASTERRangeNameList</vt:lpstr>
      <vt:lpstr>MASTERValidationList</vt:lpstr>
      <vt:lpstr>MASTER!Methodology1</vt:lpstr>
      <vt:lpstr>MASTER!Methodology2</vt:lpstr>
      <vt:lpstr>MASTER!Methodology3</vt:lpstr>
      <vt:lpstr>MASTER!Methodology4</vt:lpstr>
      <vt:lpstr>MASTER!Methodology5</vt:lpstr>
      <vt:lpstr>MASTER!Methodology6</vt:lpstr>
      <vt:lpstr>MASTER!Methodology7</vt:lpstr>
      <vt:lpstr>MethodologyList</vt:lpstr>
      <vt:lpstr>MonthList</vt:lpstr>
      <vt:lpstr>NotchingList</vt:lpstr>
      <vt:lpstr>OutlookList</vt:lpstr>
      <vt:lpstr>MASTER!Profitability</vt:lpstr>
      <vt:lpstr>MASTER!RatedEntity</vt:lpstr>
      <vt:lpstr>RatedEntityList</vt:lpstr>
      <vt:lpstr>RatingScaleList</vt:lpstr>
      <vt:lpstr>RecoveryExpectationsList</vt:lpstr>
      <vt:lpstr>ReportingUnitList</vt:lpstr>
      <vt:lpstr>ScopeadjusteddebtList</vt:lpstr>
      <vt:lpstr>ScopeadjustedEBITDAList</vt:lpstr>
      <vt:lpstr>ScopeadjustedFFOList</vt:lpstr>
      <vt:lpstr>ScopeadjustedinterestsList</vt:lpstr>
      <vt:lpstr>ScopeMetricsList</vt:lpstr>
      <vt:lpstr>SectorList</vt:lpstr>
      <vt:lpstr>SectorRiskScoreList</vt:lpstr>
      <vt:lpstr>MASTER!SegmentationCriteria</vt:lpstr>
      <vt:lpstr>SegmentationCriteriaList</vt:lpstr>
      <vt:lpstr>ShortTermDebtRatingCriteriaList</vt:lpstr>
      <vt:lpstr>ShortTermRatingsList</vt:lpstr>
      <vt:lpstr>StatusList</vt:lpstr>
      <vt:lpstr>TotalArray2List</vt:lpstr>
      <vt:lpstr>TotalArrayList</vt:lpstr>
      <vt:lpstr>MASTER!Unit</vt:lpstr>
      <vt:lpstr>YearList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 Romeo</dc:creator>
  <cp:lastModifiedBy>Richard Ewelle</cp:lastModifiedBy>
  <dcterms:created xsi:type="dcterms:W3CDTF">2015-06-05T18:19:34Z</dcterms:created>
  <dcterms:modified xsi:type="dcterms:W3CDTF">2026-03-01T07:16:29Z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356bcf-722f-489a-9d3a-771e1c16b065_Enabled">
    <vt:lpwstr>true</vt:lpwstr>
  </property>
  <property fmtid="{D5CDD505-2E9C-101B-9397-08002B2CF9AE}" pid="3" name="MSIP_Label_51356bcf-722f-489a-9d3a-771e1c16b065_SetDate">
    <vt:lpwstr>2023-01-05T13:46:07Z</vt:lpwstr>
  </property>
  <property fmtid="{D5CDD505-2E9C-101B-9397-08002B2CF9AE}" pid="4" name="MSIP_Label_51356bcf-722f-489a-9d3a-771e1c16b065_Method">
    <vt:lpwstr>Standard</vt:lpwstr>
  </property>
  <property fmtid="{D5CDD505-2E9C-101B-9397-08002B2CF9AE}" pid="5" name="MSIP_Label_51356bcf-722f-489a-9d3a-771e1c16b065_Name">
    <vt:lpwstr>Internal_SG_Test01</vt:lpwstr>
  </property>
  <property fmtid="{D5CDD505-2E9C-101B-9397-08002B2CF9AE}" pid="6" name="MSIP_Label_51356bcf-722f-489a-9d3a-771e1c16b065_SiteId">
    <vt:lpwstr>211c49c3-c442-4976-9bd4-c0fecdd6dfa9</vt:lpwstr>
  </property>
  <property fmtid="{D5CDD505-2E9C-101B-9397-08002B2CF9AE}" pid="7" name="MSIP_Label_51356bcf-722f-489a-9d3a-771e1c16b065_ActionId">
    <vt:lpwstr>cf235657-133b-41e6-bc12-9ba9b137e5df</vt:lpwstr>
  </property>
  <property fmtid="{D5CDD505-2E9C-101B-9397-08002B2CF9AE}" pid="8" name="MSIP_Label_51356bcf-722f-489a-9d3a-771e1c16b065_ContentBits">
    <vt:lpwstr>1</vt:lpwstr>
  </property>
  <property fmtid="{D5CDD505-2E9C-101B-9397-08002B2CF9AE}" pid="9" name="ContentTypeId">
    <vt:lpwstr>0x0101005008992E46A42145A9464EC75E311959</vt:lpwstr>
  </property>
  <property fmtid="{D5CDD505-2E9C-101B-9397-08002B2CF9AE}" pid="10" name="_dlc_DocIdItemGuid">
    <vt:lpwstr>59dacd10-cb67-45c0-acb2-8034c8e26137</vt:lpwstr>
  </property>
  <property fmtid="{D5CDD505-2E9C-101B-9397-08002B2CF9AE}" pid="11" name="MediaServiceImageTags">
    <vt:lpwstr/>
  </property>
  <property fmtid="{D5CDD505-2E9C-101B-9397-08002B2CF9AE}" pid="12" name="{A44787D4-0540-4523-9961-78E4036D8C6D}">
    <vt:lpwstr>{80CDB2CE-F264-432F-8D6F-F4BC5BE13B24}</vt:lpwstr>
  </property>
</Properties>
</file>